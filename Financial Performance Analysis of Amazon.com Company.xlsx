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V\OneDrive\Desktop\Mini Projects Varun\Financial Performance Analysis of Amazon Company\"/>
    </mc:Choice>
  </mc:AlternateContent>
  <bookViews>
    <workbookView xWindow="-105" yWindow="-105" windowWidth="19425" windowHeight="10305"/>
  </bookViews>
  <sheets>
    <sheet name="Income Statement" sheetId="1" r:id="rId1"/>
    <sheet name="Balance Sheet" sheetId="2" r:id="rId2"/>
    <sheet name="Cash Flow Statement" sheetId="3" r:id="rId3"/>
    <sheet name="Ratios" sheetId="4" r:id="rId4"/>
    <sheet name="Dashboards" sheetId="5" r:id="rId5"/>
    <sheet name="Conclus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4" l="1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</calcChain>
</file>

<file path=xl/sharedStrings.xml><?xml version="1.0" encoding="utf-8"?>
<sst xmlns="http://schemas.openxmlformats.org/spreadsheetml/2006/main" count="231" uniqueCount="208">
  <si>
    <t>Income Statement</t>
  </si>
  <si>
    <t>TTM</t>
  </si>
  <si>
    <t>12/31/2024</t>
  </si>
  <si>
    <t>12/31/2023</t>
  </si>
  <si>
    <t>12/31/2022</t>
  </si>
  <si>
    <t>12/31/2021</t>
  </si>
  <si>
    <t>Total Revenue</t>
  </si>
  <si>
    <t>Operating Revenue</t>
  </si>
  <si>
    <t>Cost of Revenue</t>
  </si>
  <si>
    <t>Gross Profit</t>
  </si>
  <si>
    <t>Operating Expense</t>
  </si>
  <si>
    <t>Selling General and Administrative</t>
  </si>
  <si>
    <t>General &amp; Administrative Expense</t>
  </si>
  <si>
    <t>Other G and A</t>
  </si>
  <si>
    <t>Selling &amp; Marketing Expense</t>
  </si>
  <si>
    <t>Other Operating Expenses</t>
  </si>
  <si>
    <t>Operating Income</t>
  </si>
  <si>
    <t>Net Non Operating Interest Income Expense</t>
  </si>
  <si>
    <t>Interest Income Non Operating</t>
  </si>
  <si>
    <t>Interest Expense Non Operating</t>
  </si>
  <si>
    <t>Other Income Expense</t>
  </si>
  <si>
    <t>Gain on Sale of Security</t>
  </si>
  <si>
    <t>Other Non Operating Income Expenses</t>
  </si>
  <si>
    <t>Pretax Income</t>
  </si>
  <si>
    <t>Tax Provision</t>
  </si>
  <si>
    <t>Earnings from Equity Interest Net of Tax</t>
  </si>
  <si>
    <t>Net Income Common Stockholders</t>
  </si>
  <si>
    <t>Net Income</t>
  </si>
  <si>
    <t>Net Income Including Non-Controlling Interests</t>
  </si>
  <si>
    <t>Net Income Continuous Operations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</si>
  <si>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</si>
  <si>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</si>
  <si>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</si>
  <si>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</si>
  <si>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</si>
  <si>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</si>
  <si>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</si>
  <si>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</si>
  <si>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</si>
  <si>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</si>
  <si>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</si>
  <si>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</si>
  <si>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</si>
  <si>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</si>
  <si>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</si>
  <si>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</si>
  <si>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</si>
  <si>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</si>
  <si>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</si>
  <si>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</si>
  <si>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</si>
  <si>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</si>
  <si>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Balance Sheet</t>
  </si>
  <si>
    <t>Total Assets</t>
  </si>
  <si>
    <t>Current Assets</t>
  </si>
  <si>
    <t>Cash, Cash Equivalents &amp; Short Term Investments</t>
  </si>
  <si>
    <t>Cash And Cash Equivalents</t>
  </si>
  <si>
    <t>Other Short Term Investments</t>
  </si>
  <si>
    <t>Receivables</t>
  </si>
  <si>
    <t>Accounts receivable</t>
  </si>
  <si>
    <t>Gross Accounts Receivable</t>
  </si>
  <si>
    <t>Allowance For Doubtful Accounts Receivable</t>
  </si>
  <si>
    <t>Inventory</t>
  </si>
  <si>
    <t>Finished Goods</t>
  </si>
  <si>
    <t>Other Inventories</t>
  </si>
  <si>
    <t>Inventories Adjustments Allowances</t>
  </si>
  <si>
    <t>Total non-current assets</t>
  </si>
  <si>
    <t>Net PPE</t>
  </si>
  <si>
    <t>Gross PPE</t>
  </si>
  <si>
    <t>Properties</t>
  </si>
  <si>
    <t>Land And Improvements</t>
  </si>
  <si>
    <t>Machinery Furniture Equipment</t>
  </si>
  <si>
    <t>Other Properties</t>
  </si>
  <si>
    <t>Construction in Progress</t>
  </si>
  <si>
    <t>Accumulated Depreciation</t>
  </si>
  <si>
    <t>Goodwill And Other Intangible Assets</t>
  </si>
  <si>
    <t>Goodwill</t>
  </si>
  <si>
    <t>Other Intangible Assets</t>
  </si>
  <si>
    <t>Other Non Current Assets</t>
  </si>
  <si>
    <t>Total Liabilities Net Minority Interest</t>
  </si>
  <si>
    <t>Current Liabilities</t>
  </si>
  <si>
    <t>Payables And Accrued Expenses</t>
  </si>
  <si>
    <t>Payables</t>
  </si>
  <si>
    <t>Accounts Payable</t>
  </si>
  <si>
    <t>Current Accrued Expenses</t>
  </si>
  <si>
    <t>Current Deferred Liabilities</t>
  </si>
  <si>
    <t>Current Deferred Revenue</t>
  </si>
  <si>
    <t>Total Non Current Liabilities Net Minority Interest</t>
  </si>
  <si>
    <t>Long Term Debt And Capital Lease Obligation</t>
  </si>
  <si>
    <t>Long Term Debt</t>
  </si>
  <si>
    <t>Long Term Capital Lease Obligation</t>
  </si>
  <si>
    <t>Other Non Current Liabilities</t>
  </si>
  <si>
    <t>Total Equity Gross Minority Interest</t>
  </si>
  <si>
    <t>Stockholders' Equity</t>
  </si>
  <si>
    <t>Capital Stock</t>
  </si>
  <si>
    <t>Preferred Stock</t>
  </si>
  <si>
    <t>Common Stock</t>
  </si>
  <si>
    <t>Additional Paid in Capital</t>
  </si>
  <si>
    <t>Retained Earnings</t>
  </si>
  <si>
    <t>Treasury Stock</t>
  </si>
  <si>
    <t>Gains Losses Not Affecting Retained Earnings</t>
  </si>
  <si>
    <t>Other Equity Adjustments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</si>
  <si>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</si>
  <si>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</si>
  <si>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</si>
  <si>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</si>
  <si>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</si>
  <si>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</si>
  <si>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</si>
  <si>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</si>
  <si>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</si>
  <si>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</si>
  <si>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</si>
  <si>
    <t>Treasury Shares Number</t>
  </si>
  <si>
    <t>Cash Flow Statement</t>
  </si>
  <si>
    <t>12/31/2020</t>
  </si>
  <si>
    <t>Operating Cash Flow</t>
  </si>
  <si>
    <t>Cash Flow from Continuing Operating Activities</t>
  </si>
  <si>
    <t>Net Income from Continuing Operations</t>
  </si>
  <si>
    <t>Depreciation Amortization Depletion</t>
  </si>
  <si>
    <t>Depreciation &amp; amortization</t>
  </si>
  <si>
    <t>Deferred Tax</t>
  </si>
  <si>
    <t>Deferred Income Tax</t>
  </si>
  <si>
    <t>Stock based compensation</t>
  </si>
  <si>
    <t>Other non-cash items</t>
  </si>
  <si>
    <t>Change in working capital</t>
  </si>
  <si>
    <t>Change in Receivables</t>
  </si>
  <si>
    <t>Changes in Account Receivables</t>
  </si>
  <si>
    <t>Change in Inventory</t>
  </si>
  <si>
    <t>Change in Payables And Accrued Expense</t>
  </si>
  <si>
    <t>Change in Payable</t>
  </si>
  <si>
    <t>Change in Account Payable</t>
  </si>
  <si>
    <t>Change in Accrued Expense</t>
  </si>
  <si>
    <t>Change in Other Current Assets</t>
  </si>
  <si>
    <t>Change in Other Working Capital</t>
  </si>
  <si>
    <t>Investing Cash Flow</t>
  </si>
  <si>
    <t>Cash Flow from Continuing Investing Activities</t>
  </si>
  <si>
    <t>Net PPE Purchase And Sale</t>
  </si>
  <si>
    <t>Purchase of PPE</t>
  </si>
  <si>
    <t>Sale of PPE</t>
  </si>
  <si>
    <t>Net Business Purchase And Sale</t>
  </si>
  <si>
    <t>Purchase of Business</t>
  </si>
  <si>
    <t>Net Investment Purchase And Sale</t>
  </si>
  <si>
    <t>Purchase of Investment</t>
  </si>
  <si>
    <t>Sale of Investment</t>
  </si>
  <si>
    <t>Financing Cash Flow</t>
  </si>
  <si>
    <t>Cash Flow from Continuing Financing Activities</t>
  </si>
  <si>
    <t>Net Issuance Payments of Debt</t>
  </si>
  <si>
    <t>Net Long Term Debt Issuance</t>
  </si>
  <si>
    <t>Long Term Debt Issuance</t>
  </si>
  <si>
    <t>Long Term Debt Payments</t>
  </si>
  <si>
    <t>Net Short Term Debt Issuance</t>
  </si>
  <si>
    <t>Short Term Debt Issuance</t>
  </si>
  <si>
    <t>Short Term Debt Payments</t>
  </si>
  <si>
    <t>Net Common Stock Issuance</t>
  </si>
  <si>
    <t>Common Stock Payments</t>
  </si>
  <si>
    <t>Net Other Financing Charges</t>
  </si>
  <si>
    <t>End Cash Position</t>
  </si>
  <si>
    <t>Changes in Cash</t>
  </si>
  <si>
    <t>Effect of Exchange Rate Changes</t>
  </si>
  <si>
    <t>Beginning Cash Position</t>
  </si>
  <si>
    <t>Income Tax Paid Supplemental Data</t>
  </si>
  <si>
    <t>Interest Paid Supplemental Data</t>
  </si>
  <si>
    <t>Capital Expenditure</t>
  </si>
  <si>
    <t>Issuance of Debt</t>
  </si>
  <si>
    <t>Repayment of Debt</t>
  </si>
  <si>
    <t>Repurchase of Capital Stock</t>
  </si>
  <si>
    <t>Free Cash Flow</t>
  </si>
  <si>
    <t>Ratio Category</t>
  </si>
  <si>
    <t>Ratio Name</t>
  </si>
  <si>
    <t>Formula</t>
  </si>
  <si>
    <t>2022</t>
  </si>
  <si>
    <t>2023</t>
  </si>
  <si>
    <t>2024</t>
  </si>
  <si>
    <t>Profitability</t>
  </si>
  <si>
    <t>Gross Profit Margin</t>
  </si>
  <si>
    <t>Gross Profit / Revenue</t>
  </si>
  <si>
    <t xml:space="preserve">Operating Margin </t>
  </si>
  <si>
    <t>Operating Income / Revenue</t>
  </si>
  <si>
    <t>Net Profit Margin</t>
  </si>
  <si>
    <t>Net Income / Revenue</t>
  </si>
  <si>
    <t>ROE</t>
  </si>
  <si>
    <t>Net Income / Total Equity</t>
  </si>
  <si>
    <t>ROA</t>
  </si>
  <si>
    <t>Net Income / Total Assets</t>
  </si>
  <si>
    <t>Liquidity</t>
  </si>
  <si>
    <t>Current Ratio</t>
  </si>
  <si>
    <t>Current Assets / Current Liabilities</t>
  </si>
  <si>
    <t>Quick Ratio</t>
  </si>
  <si>
    <t>(Current Assets - Inventory) / Current Liabilities</t>
  </si>
  <si>
    <t>Leverage</t>
  </si>
  <si>
    <t>Debt Ratio</t>
  </si>
  <si>
    <t>Total Liabilities / Total Assets</t>
  </si>
  <si>
    <t>Debt-to-Equity</t>
  </si>
  <si>
    <t>Total Liabilities / Total Equity</t>
  </si>
  <si>
    <t>EPS</t>
  </si>
  <si>
    <t>TTM Net Income/TTM Basic Average Shares</t>
  </si>
  <si>
    <t>Revenue vs Net Income Line Chart</t>
  </si>
  <si>
    <t>Column1</t>
  </si>
  <si>
    <t>Column2</t>
  </si>
  <si>
    <t>ROE &amp; Profit Margins Trend</t>
  </si>
  <si>
    <t>Column3</t>
  </si>
  <si>
    <t>Debt-to-Equity Ratio Trend</t>
  </si>
  <si>
    <t>Year</t>
  </si>
  <si>
    <t>Revenue</t>
  </si>
  <si>
    <t>Operating Margin</t>
  </si>
  <si>
    <t>Debt-to-Equity Ratio</t>
  </si>
  <si>
    <t>Cash Flow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</si>
</sst>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##,###,###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0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2" xfId="0" applyBorder="1"/>
    <xf numFmtId="2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9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</dxfs>
  <tableStyles count="0" defaultTableStyle="TableStyleMedium2" defaultPivotStyle="PivotStyleLight16"/>
  <colors>
    <mruColors>
      <color rgb="FF99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Net Income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F58D-4DB6-9F59-D8D774E074C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58D-4DB6-9F59-D8D774E074C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F58D-4DB6-9F59-D8D774E074C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58D-4DB6-9F59-D8D774E074C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Dashboards!$A$17:$A$21</c:f>
              <c:strCache>
                <c:ptCount val="5"/>
                <c:pt idx="0">
                  <c:v>Year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Dashboards!$B$17:$B$21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469822000</c:v>
                </c:pt>
                <c:pt idx="2">
                  <c:v>513983000</c:v>
                </c:pt>
                <c:pt idx="3">
                  <c:v>574785000</c:v>
                </c:pt>
                <c:pt idx="4" formatCode="&quot;₹&quot;##,###,###\ ">
                  <c:v>637959000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58D-4DB6-9F59-D8D774E074C1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Dashboards!$A$17:$A$21</c:f>
              <c:strCache>
                <c:ptCount val="5"/>
                <c:pt idx="0">
                  <c:v>Year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Dashboards!$C$17:$C$21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33364000</c:v>
                </c:pt>
                <c:pt idx="2">
                  <c:v>-2722000</c:v>
                </c:pt>
                <c:pt idx="3">
                  <c:v>30425000</c:v>
                </c:pt>
                <c:pt idx="4" formatCode="&quot;₹&quot;##,###,###\ ">
                  <c:v>59248000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58D-4DB6-9F59-D8D774E0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598120"/>
        <c:axId val="198701688"/>
      </c:areaChart>
      <c:catAx>
        <c:axId val="197598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1688"/>
        <c:crosses val="autoZero"/>
        <c:auto val="1"/>
        <c:lblAlgn val="ctr"/>
        <c:lblOffset val="100"/>
        <c:noMultiLvlLbl val="0"/>
      </c:catAx>
      <c:valAx>
        <c:axId val="198701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98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ROE &amp; Profit Margins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Dashboards!$E$17</c:f>
              <c:strCache>
                <c:ptCount val="1"/>
                <c:pt idx="0">
                  <c:v>Year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Dashboards!$F$17:$H$17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FB1-491B-9D04-3D427B9B358D}"/>
            </c:ext>
          </c:extLst>
        </c:ser>
        <c:ser>
          <c:idx val="1"/>
          <c:order val="1"/>
          <c:tx>
            <c:strRef>
              <c:f>Dashboards!$E$18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Dashboards!$F$18:$H$18</c:f>
              <c:numCache>
                <c:formatCode>0.00%</c:formatCode>
                <c:ptCount val="3"/>
                <c:pt idx="0">
                  <c:v>-1.8638346240490811E-2</c:v>
                </c:pt>
                <c:pt idx="1">
                  <c:v>2.3829581912242229E-2</c:v>
                </c:pt>
                <c:pt idx="2">
                  <c:v>-5.2958950004183018E-3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FB1-491B-9D04-3D427B9B358D}"/>
            </c:ext>
          </c:extLst>
        </c:ser>
        <c:ser>
          <c:idx val="2"/>
          <c:order val="2"/>
          <c:tx>
            <c:strRef>
              <c:f>Dashboards!$E$19</c:f>
              <c:strCache>
                <c:ptCount val="1"/>
                <c:pt idx="0">
                  <c:v>2023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Dashboards!$F$19:$H$19</c:f>
              <c:numCache>
                <c:formatCode>0.00%</c:formatCode>
                <c:ptCount val="3"/>
                <c:pt idx="0">
                  <c:v>0.15071207430340561</c:v>
                </c:pt>
                <c:pt idx="1">
                  <c:v>6.4114407996033296E-2</c:v>
                </c:pt>
                <c:pt idx="2">
                  <c:v>5.2932835755978319E-2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FB1-491B-9D04-3D427B9B358D}"/>
            </c:ext>
          </c:extLst>
        </c:ser>
        <c:ser>
          <c:idx val="3"/>
          <c:order val="3"/>
          <c:tx>
            <c:strRef>
              <c:f>Dashboards!$E$20</c:f>
              <c:strCache>
                <c:ptCount val="1"/>
                <c:pt idx="0">
                  <c:v>2024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Dashboards!$F$20:$H$20</c:f>
              <c:numCache>
                <c:formatCode>0.00%</c:formatCode>
                <c:ptCount val="3"/>
                <c:pt idx="0">
                  <c:v>0.20718257159841941</c:v>
                </c:pt>
                <c:pt idx="1">
                  <c:v>0.1075194487420038</c:v>
                </c:pt>
                <c:pt idx="2">
                  <c:v>9.2871171971866534E-2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FB1-491B-9D04-3D427B9B35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8536096"/>
        <c:axId val="398544680"/>
      </c:lineChart>
      <c:catAx>
        <c:axId val="39853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44680"/>
        <c:crosses val="autoZero"/>
        <c:auto val="1"/>
        <c:lblAlgn val="ctr"/>
        <c:lblOffset val="100"/>
        <c:noMultiLvlLbl val="0"/>
      </c:catAx>
      <c:valAx>
        <c:axId val="3985446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853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 to Equity Ratio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/>
              <c:tx>
                <c:rich>
                  <a:bodyPr/>
                  <a:lstStyle/>
                  <a:p>
                    <a:fld id="{516B24A9-6EC9-4949-8638-F707DD121159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E37E-403A-A69B-014E84902822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5AB2789-BA25-4AD8-B934-926C8BCB21A7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37E-403A-A69B-014E84902822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C899CC3-BF8C-423C-A067-18ABF12D745C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E37E-403A-A69B-014E84902822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Dashboards!$J$17:$J$20</c:f>
              <c:strCache>
                <c:ptCount val="4"/>
                <c:pt idx="0">
                  <c:v>Year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Dashboards!$K$17:$K$20</c:f>
              <c:numCache>
                <c:formatCode>General</c:formatCode>
                <c:ptCount val="4"/>
                <c:pt idx="0">
                  <c:v>0</c:v>
                </c:pt>
                <c:pt idx="1">
                  <c:v>2.168073786487541</c:v>
                </c:pt>
                <c:pt idx="2">
                  <c:v>1.614756656346749</c:v>
                </c:pt>
                <c:pt idx="3">
                  <c:v>1.185173269923419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37E-403A-A69B-014E849028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8590600"/>
        <c:axId val="398589032"/>
      </c:barChart>
      <c:catAx>
        <c:axId val="39859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89032"/>
        <c:crosses val="autoZero"/>
        <c:auto val="1"/>
        <c:lblAlgn val="ctr"/>
        <c:lblOffset val="100"/>
        <c:noMultiLvlLbl val="0"/>
      </c:catAx>
      <c:valAx>
        <c:axId val="3985890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859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Cash Flow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dLbl>
              <c:idx val="1"/>
              <c:layout/>
              <c:tx>
                <c:rich>
                  <a:bodyPr/>
                  <a:lstStyle/>
                  <a:p>
                    <a:fld id="{E9B9B660-04BC-41F3-A5A9-AE619DA9A390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AA4826A-37F8-4697-BDC1-3BC621A79D62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917F97D-04D4-4456-B695-6BC4F3B5A9FB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36B1A80-ACCA-4113-B843-50F88F4956A7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4D468FE5-A297-4979-B272-BE473685466F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Dashboards!$M$17:$M$22</c:f>
              <c:strCache>
                <c:ptCount val="6"/>
                <c:pt idx="0">
                  <c:v>Year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xVal>
          <c:yVal>
            <c:numRef>
              <c:f>Dashboards!$N$17:$N$22</c:f>
              <c:numCache>
                <c:formatCode>General</c:formatCode>
                <c:ptCount val="6"/>
                <c:pt idx="0">
                  <c:v>0</c:v>
                </c:pt>
                <c:pt idx="1">
                  <c:v>46327000</c:v>
                </c:pt>
                <c:pt idx="2">
                  <c:v>46752000</c:v>
                </c:pt>
                <c:pt idx="3">
                  <c:v>84946000</c:v>
                </c:pt>
                <c:pt idx="4">
                  <c:v>115877000</c:v>
                </c:pt>
                <c:pt idx="5">
                  <c:v>130691000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ABDF-44A5-8043-7E0AAEFFF86E}"/>
            </c:ext>
          </c:extLst>
        </c:ser>
        <c:ser>
          <c:idx val="2"/>
          <c:order val="2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dLbl>
              <c:idx val="1"/>
              <c:layout/>
              <c:tx>
                <c:rich>
                  <a:bodyPr/>
                  <a:lstStyle/>
                  <a:p>
                    <a:fld id="{B31B904D-94A8-4C79-999E-BFEE7AF109E7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901FC4C2-90D5-46D6-9F75-4365BFFA3250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C4E6C87D-2A95-4D17-BCE6-FE9B3171121C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BDC90192-67B3-404C-9922-07FD3C6E67B2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B811DBDB-793D-4B89-8C9A-C58A8658220D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Dashboards!$M$17:$M$22</c:f>
              <c:strCache>
                <c:ptCount val="6"/>
                <c:pt idx="0">
                  <c:v>Year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xVal>
          <c:yVal>
            <c:numRef>
              <c:f>Dashboards!$P$17:$P$22</c:f>
              <c:numCache>
                <c:formatCode>General</c:formatCode>
                <c:ptCount val="6"/>
                <c:pt idx="0">
                  <c:v>0</c:v>
                </c:pt>
                <c:pt idx="1">
                  <c:v>6291000</c:v>
                </c:pt>
                <c:pt idx="2">
                  <c:v>9718000</c:v>
                </c:pt>
                <c:pt idx="3">
                  <c:v>-15879000</c:v>
                </c:pt>
                <c:pt idx="4">
                  <c:v>-11812000</c:v>
                </c:pt>
                <c:pt idx="5">
                  <c:v>-5938000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ABDF-44A5-8043-7E0AAEFFF86E}"/>
            </c:ext>
          </c:extLst>
        </c:ser>
        <c:ser>
          <c:idx val="1"/>
          <c:order val="1"/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dLbl>
              <c:idx val="1"/>
              <c:layout/>
              <c:tx>
                <c:rich>
                  <a:bodyPr/>
                  <a:lstStyle/>
                  <a:p>
                    <a:fld id="{8BC16314-39A8-4158-8D80-3705306867B3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6DD104A-4118-4C0E-B5A6-EAFABA0ED18B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E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574EB3D9-52F0-42ED-87A4-4A693F8DF49F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1795F1C0-14BE-4B28-9CBB-AE5C5B2170D3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0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1FC3E1C9-B39A-4160-B537-54A85723F72D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ABDF-44A5-8043-7E0AAEFFF86E}"/>
                </c:ex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Dashboards!$M$17:$M$22</c:f>
              <c:strCache>
                <c:ptCount val="6"/>
                <c:pt idx="0">
                  <c:v>Year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xVal>
          <c:yVal>
            <c:numRef>
              <c:f>Dashboards!$O$17:$O$22</c:f>
              <c:numCache>
                <c:formatCode>General</c:formatCode>
                <c:ptCount val="6"/>
                <c:pt idx="0">
                  <c:v>0</c:v>
                </c:pt>
                <c:pt idx="1">
                  <c:v>-58154000</c:v>
                </c:pt>
                <c:pt idx="2">
                  <c:v>-37601000</c:v>
                </c:pt>
                <c:pt idx="3">
                  <c:v>-49833000</c:v>
                </c:pt>
                <c:pt idx="4">
                  <c:v>-94342000</c:v>
                </c:pt>
                <c:pt idx="5">
                  <c:v>-132743000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ABDF-44A5-8043-7E0AAEFFF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594912"/>
        <c:axId val="398596480"/>
      </c:scatterChart>
      <c:valAx>
        <c:axId val="3985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96480"/>
        <c:crosses val="autoZero"/>
        <c:crossBetween val="midCat"/>
      </c:valAx>
      <c:valAx>
        <c:axId val="398596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9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22</xdr:row>
      <xdr:rowOff>14287</xdr:rowOff>
    </xdr:from>
    <xdr:to>
      <xdr:col>3</xdr:col>
      <xdr:colOff>74084</xdr:colOff>
      <xdr:row>36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600074</xdr:colOff>
      <xdr:row>21</xdr:row>
      <xdr:rowOff>185737</xdr:rowOff>
    </xdr:from>
    <xdr:to>
      <xdr:col>8</xdr:col>
      <xdr:colOff>-1</xdr:colOff>
      <xdr:row>36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21</xdr:row>
      <xdr:rowOff>176212</xdr:rowOff>
    </xdr:from>
    <xdr:to>
      <xdr:col>11</xdr:col>
      <xdr:colOff>19050</xdr:colOff>
      <xdr:row>36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21167</xdr:colOff>
      <xdr:row>6</xdr:row>
      <xdr:rowOff>17991</xdr:rowOff>
    </xdr:from>
    <xdr:to>
      <xdr:col>1</xdr:col>
      <xdr:colOff>316441</xdr:colOff>
      <xdr:row>13</xdr:row>
      <xdr:rowOff>160866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>
        <a:xfrm>
          <a:off x="21167" y="1160991"/>
          <a:ext cx="2560107" cy="14763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381000</xdr:colOff>
      <xdr:row>6</xdr:row>
      <xdr:rowOff>28575</xdr:rowOff>
    </xdr:from>
    <xdr:to>
      <xdr:col>4</xdr:col>
      <xdr:colOff>771525</xdr:colOff>
      <xdr:row>13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SpPr/>
      </xdr:nvSpPr>
      <xdr:spPr>
        <a:xfrm>
          <a:off x="2647950" y="1171575"/>
          <a:ext cx="2867025" cy="1457325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867833</xdr:colOff>
      <xdr:row>6</xdr:row>
      <xdr:rowOff>21167</xdr:rowOff>
    </xdr:from>
    <xdr:to>
      <xdr:col>6</xdr:col>
      <xdr:colOff>866775</xdr:colOff>
      <xdr:row>14</xdr:row>
      <xdr:rowOff>2117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>
        <a:xfrm>
          <a:off x="5619750" y="1164167"/>
          <a:ext cx="2962275" cy="15049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941917</xdr:colOff>
      <xdr:row>5</xdr:row>
      <xdr:rowOff>180975</xdr:rowOff>
    </xdr:from>
    <xdr:to>
      <xdr:col>9</xdr:col>
      <xdr:colOff>866775</xdr:colOff>
      <xdr:row>13</xdr:row>
      <xdr:rowOff>161925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/>
      </xdr:nvSpPr>
      <xdr:spPr>
        <a:xfrm>
          <a:off x="8657167" y="1133475"/>
          <a:ext cx="2782358" cy="1504950"/>
        </a:xfrm>
        <a:prstGeom prst="roundRect">
          <a:avLst/>
        </a:prstGeom>
        <a:solidFill>
          <a:srgbClr val="FF993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963083</xdr:colOff>
      <xdr:row>5</xdr:row>
      <xdr:rowOff>150284</xdr:rowOff>
    </xdr:from>
    <xdr:to>
      <xdr:col>11</xdr:col>
      <xdr:colOff>601134</xdr:colOff>
      <xdr:row>13</xdr:row>
      <xdr:rowOff>150284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/>
      </xdr:nvSpPr>
      <xdr:spPr>
        <a:xfrm>
          <a:off x="11535833" y="1102784"/>
          <a:ext cx="2717801" cy="15240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295275</xdr:colOff>
      <xdr:row>6</xdr:row>
      <xdr:rowOff>187325</xdr:rowOff>
    </xdr:from>
    <xdr:to>
      <xdr:col>0</xdr:col>
      <xdr:colOff>2228850</xdr:colOff>
      <xdr:row>12</xdr:row>
      <xdr:rowOff>187325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SpPr txBox="1"/>
      </xdr:nvSpPr>
      <xdr:spPr>
        <a:xfrm>
          <a:off x="295275" y="1330325"/>
          <a:ext cx="1933575" cy="11430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</a:rPr>
            <a:t>Revenue</a:t>
          </a:r>
          <a:r>
            <a:rPr lang="en-IN" sz="1400" baseline="0">
              <a:solidFill>
                <a:schemeClr val="tx1"/>
              </a:solidFill>
            </a:rPr>
            <a:t> Growth</a:t>
          </a:r>
        </a:p>
        <a:p>
          <a:r>
            <a:rPr lang="en-IN" sz="2800" baseline="0">
              <a:solidFill>
                <a:schemeClr val="tx1"/>
              </a:solidFill>
            </a:rPr>
            <a:t>11.22%</a:t>
          </a:r>
          <a:endParaRPr lang="en-IN" sz="2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762000</xdr:colOff>
      <xdr:row>7</xdr:row>
      <xdr:rowOff>9525</xdr:rowOff>
    </xdr:from>
    <xdr:to>
      <xdr:col>4</xdr:col>
      <xdr:colOff>400050</xdr:colOff>
      <xdr:row>12</xdr:row>
      <xdr:rowOff>180975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SpPr txBox="1"/>
      </xdr:nvSpPr>
      <xdr:spPr>
        <a:xfrm>
          <a:off x="3028950" y="1343025"/>
          <a:ext cx="2114550" cy="11239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Net Income Growth</a:t>
          </a:r>
        </a:p>
        <a:p>
          <a:r>
            <a:rPr lang="en-IN" sz="2400"/>
            <a:t>94.7%</a:t>
          </a:r>
        </a:p>
      </xdr:txBody>
    </xdr:sp>
    <xdr:clientData/>
  </xdr:twoCellAnchor>
  <xdr:twoCellAnchor>
    <xdr:from>
      <xdr:col>4</xdr:col>
      <xdr:colOff>1190625</xdr:colOff>
      <xdr:row>7</xdr:row>
      <xdr:rowOff>9525</xdr:rowOff>
    </xdr:from>
    <xdr:to>
      <xdr:col>6</xdr:col>
      <xdr:colOff>704850</xdr:colOff>
      <xdr:row>12</xdr:row>
      <xdr:rowOff>180975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 txBox="1"/>
      </xdr:nvSpPr>
      <xdr:spPr>
        <a:xfrm>
          <a:off x="5934075" y="1343025"/>
          <a:ext cx="2476500" cy="11239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ROE</a:t>
          </a:r>
        </a:p>
        <a:p>
          <a:r>
            <a:rPr lang="en-IN" sz="2400"/>
            <a:t>20.72%</a:t>
          </a:r>
        </a:p>
      </xdr:txBody>
    </xdr:sp>
    <xdr:clientData/>
  </xdr:twoCellAnchor>
  <xdr:twoCellAnchor>
    <xdr:from>
      <xdr:col>7</xdr:col>
      <xdr:colOff>114300</xdr:colOff>
      <xdr:row>6</xdr:row>
      <xdr:rowOff>171450</xdr:rowOff>
    </xdr:from>
    <xdr:to>
      <xdr:col>9</xdr:col>
      <xdr:colOff>704850</xdr:colOff>
      <xdr:row>13</xdr:row>
      <xdr:rowOff>9525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 txBox="1"/>
      </xdr:nvSpPr>
      <xdr:spPr>
        <a:xfrm>
          <a:off x="8953500" y="1314450"/>
          <a:ext cx="2314575" cy="1171575"/>
        </a:xfrm>
        <a:prstGeom prst="rect">
          <a:avLst/>
        </a:prstGeom>
        <a:solidFill>
          <a:srgbClr val="FF99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Operating Margin</a:t>
          </a:r>
        </a:p>
        <a:p>
          <a:r>
            <a:rPr lang="en-IN" sz="2400"/>
            <a:t>10.75%</a:t>
          </a:r>
        </a:p>
      </xdr:txBody>
    </xdr:sp>
    <xdr:clientData/>
  </xdr:twoCellAnchor>
  <xdr:twoCellAnchor>
    <xdr:from>
      <xdr:col>9</xdr:col>
      <xdr:colOff>1276350</xdr:colOff>
      <xdr:row>6</xdr:row>
      <xdr:rowOff>180975</xdr:rowOff>
    </xdr:from>
    <xdr:to>
      <xdr:col>11</xdr:col>
      <xdr:colOff>476250</xdr:colOff>
      <xdr:row>12</xdr:row>
      <xdr:rowOff>161925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SpPr txBox="1"/>
      </xdr:nvSpPr>
      <xdr:spPr>
        <a:xfrm>
          <a:off x="11839575" y="1323975"/>
          <a:ext cx="2276475" cy="1123950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Debt-to-Equity</a:t>
          </a:r>
        </a:p>
        <a:p>
          <a:r>
            <a:rPr lang="en-IN" sz="2400"/>
            <a:t>1.18</a:t>
          </a:r>
        </a:p>
      </xdr:txBody>
    </xdr:sp>
    <xdr:clientData/>
  </xdr:twoCellAnchor>
  <xdr:twoCellAnchor>
    <xdr:from>
      <xdr:col>12</xdr:col>
      <xdr:colOff>52918</xdr:colOff>
      <xdr:row>6</xdr:row>
      <xdr:rowOff>9525</xdr:rowOff>
    </xdr:from>
    <xdr:to>
      <xdr:col>16</xdr:col>
      <xdr:colOff>63500</xdr:colOff>
      <xdr:row>13</xdr:row>
      <xdr:rowOff>152400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SpPr/>
      </xdr:nvSpPr>
      <xdr:spPr>
        <a:xfrm>
          <a:off x="14319251" y="1152525"/>
          <a:ext cx="5132916" cy="14763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267758</xdr:colOff>
      <xdr:row>6</xdr:row>
      <xdr:rowOff>179916</xdr:rowOff>
    </xdr:from>
    <xdr:to>
      <xdr:col>15</xdr:col>
      <xdr:colOff>1195917</xdr:colOff>
      <xdr:row>12</xdr:row>
      <xdr:rowOff>189441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SpPr txBox="1"/>
      </xdr:nvSpPr>
      <xdr:spPr>
        <a:xfrm>
          <a:off x="14534091" y="1322916"/>
          <a:ext cx="4769909" cy="11525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Free Cash Flow [operating Cashflow(-)Capital</a:t>
          </a:r>
          <a:r>
            <a:rPr lang="en-IN" sz="1400" baseline="0"/>
            <a:t> Expenditure]</a:t>
          </a:r>
          <a:endParaRPr lang="en-IN" sz="1400"/>
        </a:p>
        <a:p>
          <a:r>
            <a:rPr lang="en-IN" sz="2400"/>
            <a:t>₹63.8M</a:t>
          </a:r>
        </a:p>
      </xdr:txBody>
    </xdr:sp>
    <xdr:clientData/>
  </xdr:twoCellAnchor>
  <xdr:twoCellAnchor>
    <xdr:from>
      <xdr:col>0</xdr:col>
      <xdr:colOff>19050</xdr:colOff>
      <xdr:row>0</xdr:row>
      <xdr:rowOff>47625</xdr:rowOff>
    </xdr:from>
    <xdr:to>
      <xdr:col>16</xdr:col>
      <xdr:colOff>84666</xdr:colOff>
      <xdr:row>5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SpPr txBox="1"/>
      </xdr:nvSpPr>
      <xdr:spPr>
        <a:xfrm>
          <a:off x="19050" y="47625"/>
          <a:ext cx="19454283" cy="1028700"/>
        </a:xfrm>
        <a:prstGeom prst="rect">
          <a:avLst/>
        </a:prstGeom>
        <a:solidFill>
          <a:srgbClr val="9933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000"/>
            <a:t>Financial Performance Analysis of Amazon.com Company</a:t>
          </a:r>
        </a:p>
      </xdr:txBody>
    </xdr:sp>
    <xdr:clientData/>
  </xdr:twoCellAnchor>
  <xdr:twoCellAnchor>
    <xdr:from>
      <xdr:col>12</xdr:col>
      <xdr:colOff>0</xdr:colOff>
      <xdr:row>22</xdr:row>
      <xdr:rowOff>9523</xdr:rowOff>
    </xdr:from>
    <xdr:to>
      <xdr:col>15</xdr:col>
      <xdr:colOff>1790700</xdr:colOff>
      <xdr:row>36</xdr:row>
      <xdr:rowOff>63501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28</xdr:col>
      <xdr:colOff>504825</xdr:colOff>
      <xdr:row>37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 txBox="1"/>
      </xdr:nvSpPr>
      <xdr:spPr>
        <a:xfrm>
          <a:off x="19050" y="9525"/>
          <a:ext cx="17792700" cy="720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/>
            <a:t>Amazon Financial Performance Report (2021–2024) </a:t>
          </a:r>
        </a:p>
        <a:p>
          <a:r>
            <a:rPr lang="en-IN"/>
            <a:t>This report covers the full financial analysis of Amazon, including revenue trends, profitability ratios, leverage ratios, liquidity ratios, cash flow insights, SWOT analysis, and KPI dashboard summary.</a:t>
          </a:r>
        </a:p>
        <a:p>
          <a:endParaRPr lang="en-IN" sz="2400" b="1"/>
        </a:p>
        <a:p>
          <a:r>
            <a:rPr lang="en-IN" sz="2400" b="1"/>
            <a:t>Key Insights:</a:t>
          </a:r>
        </a:p>
        <a:p>
          <a:r>
            <a:rPr lang="en-IN"/>
            <a:t>- Strong and consistent revenue growth.</a:t>
          </a:r>
        </a:p>
        <a:p>
          <a:r>
            <a:rPr lang="en-IN"/>
            <a:t>- Major profitability turnaround from 2022 to 2024.</a:t>
          </a:r>
        </a:p>
        <a:p>
          <a:r>
            <a:rPr lang="en-IN"/>
            <a:t>- Operating Margin improved to 10.75%.</a:t>
          </a:r>
        </a:p>
        <a:p>
          <a:r>
            <a:rPr lang="en-IN"/>
            <a:t>- ROE reached 20.72% indicating strong value creation.</a:t>
          </a:r>
        </a:p>
        <a:p>
          <a:r>
            <a:rPr lang="en-IN"/>
            <a:t>- Debt-to-Equity decreased from 2.17 to 1.18.</a:t>
          </a:r>
        </a:p>
        <a:p>
          <a:r>
            <a:rPr lang="en-IN"/>
            <a:t>- Free Cash Flow increased steadily, reaching 63.8M. </a:t>
          </a:r>
        </a:p>
        <a:p>
          <a:endParaRPr lang="en-IN" sz="1100" b="1"/>
        </a:p>
        <a:p>
          <a:r>
            <a:rPr lang="en-IN" sz="2400" b="1"/>
            <a:t>SWOT Analysis: </a:t>
          </a:r>
        </a:p>
        <a:p>
          <a:r>
            <a:rPr lang="en-IN" b="1"/>
            <a:t>Strengths:- </a:t>
          </a:r>
          <a:r>
            <a:rPr lang="en-IN"/>
            <a:t>Strong revenue growth- High ROE- Strong cash flows </a:t>
          </a:r>
        </a:p>
        <a:p>
          <a:r>
            <a:rPr lang="en-IN" b="1"/>
            <a:t>Weaknesses:- </a:t>
          </a:r>
          <a:r>
            <a:rPr lang="en-IN"/>
            <a:t>Low liquidity ratios- High operating expenses </a:t>
          </a:r>
        </a:p>
        <a:p>
          <a:r>
            <a:rPr lang="en-IN" b="1"/>
            <a:t>Opportunities:- </a:t>
          </a:r>
          <a:r>
            <a:rPr lang="en-IN"/>
            <a:t>AWS expansion- AI, robotics, global expansion </a:t>
          </a:r>
        </a:p>
        <a:p>
          <a:r>
            <a:rPr lang="en-IN" b="1"/>
            <a:t>Threats:- </a:t>
          </a:r>
          <a:r>
            <a:rPr lang="en-IN"/>
            <a:t>Competition- Regulatory risks </a:t>
          </a:r>
        </a:p>
        <a:p>
          <a:endParaRPr lang="en-IN"/>
        </a:p>
        <a:p>
          <a:r>
            <a:rPr lang="en-IN"/>
            <a:t>This report also includes KPI cards and dashboard-ready values for visualization</a:t>
          </a:r>
          <a:endParaRPr lang="en-IN" sz="1100" b="1"/>
        </a:p>
        <a:p>
          <a:endParaRPr lang="en-IN" sz="1100" b="1"/>
        </a:p>
        <a:p>
          <a:r>
            <a:rPr lang="en-IN" sz="2400" b="1"/>
            <a:t>Executive Summary </a:t>
          </a:r>
        </a:p>
        <a:p>
          <a:r>
            <a:rPr lang="en-IN"/>
            <a:t>Amazon has demonstrated consistent revenue growth and strong financial recovery from 2022 to 2024. Revenue grew steadily with improving operating and net margins, highlighted by a major turnaround in profitability. ROE increased to over 20%, reflecting significant improvement in shareholder returns. </a:t>
          </a:r>
        </a:p>
        <a:p>
          <a:endParaRPr lang="en-IN"/>
        </a:p>
        <a:p>
          <a:r>
            <a:rPr lang="en-IN"/>
            <a:t>The company also strengthened its balance sheet by reducing leverage, as shown by a declining Debt-to-Equity ratio. Operating cash flow and free cash flow increased, indicating strong liquidity generation through core operations. While liquidity ratios remain slightly low and capital expenditure stays high, Amazon's long-term financial outlook remains strong due to operational efficiency, strategic reinvestment, and sustained market leadership. </a:t>
          </a:r>
        </a:p>
        <a:p>
          <a:endParaRPr lang="en-IN" sz="2400" b="1"/>
        </a:p>
        <a:p>
          <a:r>
            <a:rPr lang="en-IN" sz="2400" b="1"/>
            <a:t>Key KPIs:</a:t>
          </a:r>
        </a:p>
        <a:p>
          <a:r>
            <a:rPr lang="en-IN" b="1"/>
            <a:t>-</a:t>
          </a:r>
          <a:r>
            <a:rPr lang="en-IN"/>
            <a:t> </a:t>
          </a:r>
          <a:r>
            <a:rPr lang="en-IN" b="1"/>
            <a:t>Revenue Growth: </a:t>
          </a:r>
          <a:r>
            <a:rPr lang="en-IN"/>
            <a:t>11.22%</a:t>
          </a:r>
        </a:p>
        <a:p>
          <a:r>
            <a:rPr lang="en-IN" b="1"/>
            <a:t>-</a:t>
          </a:r>
          <a:r>
            <a:rPr lang="en-IN"/>
            <a:t> </a:t>
          </a:r>
          <a:r>
            <a:rPr lang="en-IN" b="1"/>
            <a:t>Net Income Growth: </a:t>
          </a:r>
          <a:r>
            <a:rPr lang="en-IN"/>
            <a:t>94.7%</a:t>
          </a:r>
        </a:p>
        <a:p>
          <a:r>
            <a:rPr lang="en-IN" b="1"/>
            <a:t>- ROE: </a:t>
          </a:r>
          <a:r>
            <a:rPr lang="en-IN"/>
            <a:t>20.72%</a:t>
          </a:r>
        </a:p>
        <a:p>
          <a:r>
            <a:rPr lang="en-IN" b="1"/>
            <a:t>- Operating Margin: </a:t>
          </a:r>
          <a:r>
            <a:rPr lang="en-IN"/>
            <a:t>10.75%</a:t>
          </a:r>
        </a:p>
        <a:p>
          <a:r>
            <a:rPr lang="en-IN" b="1"/>
            <a:t>- Debt-to-Equity: </a:t>
          </a:r>
          <a:r>
            <a:rPr lang="en-IN"/>
            <a:t>1.18</a:t>
          </a:r>
        </a:p>
        <a:p>
          <a:r>
            <a:rPr lang="en-IN" b="1"/>
            <a:t>- Free Cash Flow: </a:t>
          </a:r>
          <a:r>
            <a:rPr lang="en-IN"/>
            <a:t>63.8</a:t>
          </a:r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F47" totalsRowShown="0" headerRowDxfId="8">
  <autoFilter ref="A1:F47"/>
  <tableColumns count="6">
    <tableColumn id="1" name="Income Statement"/>
    <tableColumn id="2" name="TTM" dataDxfId="7"/>
    <tableColumn id="3" name="12/31/2024" dataDxfId="6"/>
    <tableColumn id="4" name="12/31/2023" dataDxfId="5"/>
    <tableColumn id="5" name="12/31/2022" dataDxfId="4"/>
    <tableColumn id="6" name="12/31/2021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62" totalsRowShown="0" headerRowDxfId="2">
  <autoFilter ref="A1:E62"/>
  <tableColumns count="5">
    <tableColumn id="1" name="Balance Sheet"/>
    <tableColumn id="2" name="12/31/2024"/>
    <tableColumn id="3" name="12/31/2023"/>
    <tableColumn id="4" name="12/31/2022"/>
    <tableColumn id="5" name="12/31/20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53" totalsRowShown="0" headerRowDxfId="1">
  <autoFilter ref="A1:F53"/>
  <tableColumns count="6">
    <tableColumn id="1" name="Cash Flow Statement"/>
    <tableColumn id="2" name="12/31/2024"/>
    <tableColumn id="3" name="12/31/2023"/>
    <tableColumn id="4" name="12/31/2022"/>
    <tableColumn id="5" name="12/31/2021"/>
    <tableColumn id="6" name="12/31/20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F11" totalsRowShown="0" headerRowDxfId="0">
  <autoFilter ref="A1:F11"/>
  <tableColumns count="6">
    <tableColumn id="1" name="Ratio Category"/>
    <tableColumn id="2" name="Ratio Name"/>
    <tableColumn id="3" name="Formula"/>
    <tableColumn id="4" name="2022"/>
    <tableColumn id="5" name="2023"/>
    <tableColumn id="6" name="20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6:C21" totalsRowShown="0">
  <autoFilter ref="A16:C21"/>
  <tableColumns count="3">
    <tableColumn id="1" name="Revenue vs Net Income Line Chart"/>
    <tableColumn id="2" name="Column1"/>
    <tableColumn id="3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E16:H20" totalsRowShown="0">
  <autoFilter ref="E16:H20"/>
  <tableColumns count="4">
    <tableColumn id="1" name="ROE &amp; Profit Margins Trend"/>
    <tableColumn id="2" name="Column1"/>
    <tableColumn id="3" name="Column2"/>
    <tableColumn id="4" name="Column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J16:K20" totalsRowShown="0">
  <autoFilter ref="J16:K20"/>
  <tableColumns count="2">
    <tableColumn id="1" name="Debt-to-Equity Ratio Trend"/>
    <tableColumn id="2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M16:P22" totalsRowShown="0">
  <autoFilter ref="M16:P22"/>
  <tableColumns count="4">
    <tableColumn id="1" name="Cash Flow Trend"/>
    <tableColumn id="2" name="Column1"/>
    <tableColumn id="3" name="Column2"/>
    <tableColumn id="4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80" zoomScaleNormal="80" workbookViewId="0">
      <selection activeCell="M31" sqref="M31"/>
    </sheetView>
  </sheetViews>
  <sheetFormatPr defaultRowHeight="15" x14ac:dyDescent="0.25"/>
  <cols>
    <col min="1" max="1" width="53" customWidth="1"/>
    <col min="2" max="2" width="21" customWidth="1"/>
    <col min="3" max="3" width="20.7109375" customWidth="1"/>
    <col min="4" max="4" width="20.85546875" customWidth="1"/>
    <col min="5" max="5" width="15.5703125" customWidth="1"/>
    <col min="6" max="6" width="20.140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s="1">
        <v>691330000</v>
      </c>
      <c r="C2" s="13">
        <v>637959000</v>
      </c>
      <c r="D2" s="1">
        <v>574785000</v>
      </c>
      <c r="E2" s="1">
        <v>513983000</v>
      </c>
      <c r="F2" s="1">
        <v>469822000</v>
      </c>
    </row>
    <row r="3" spans="1:6" x14ac:dyDescent="0.25">
      <c r="A3" t="s">
        <v>7</v>
      </c>
      <c r="B3" s="1">
        <v>691330000</v>
      </c>
      <c r="C3" s="1">
        <v>637959000</v>
      </c>
      <c r="D3" s="1">
        <v>574785000</v>
      </c>
      <c r="E3" s="1">
        <v>513983000</v>
      </c>
      <c r="F3" s="1">
        <v>469822000</v>
      </c>
    </row>
    <row r="4" spans="1:6" x14ac:dyDescent="0.25">
      <c r="A4" t="s">
        <v>8</v>
      </c>
      <c r="B4" s="1">
        <v>345348000</v>
      </c>
      <c r="C4" s="1">
        <v>326288000</v>
      </c>
      <c r="D4" s="1">
        <v>304739000</v>
      </c>
      <c r="E4" s="1">
        <v>288831000</v>
      </c>
      <c r="F4" s="1">
        <v>272344000</v>
      </c>
    </row>
    <row r="5" spans="1:6" x14ac:dyDescent="0.25">
      <c r="A5" t="s">
        <v>9</v>
      </c>
      <c r="B5" s="1">
        <v>345982000</v>
      </c>
      <c r="C5" s="1">
        <v>311671000</v>
      </c>
      <c r="D5" s="1">
        <v>270046000</v>
      </c>
      <c r="E5" s="1">
        <v>225152000</v>
      </c>
      <c r="F5" s="1">
        <v>197478000</v>
      </c>
    </row>
    <row r="6" spans="1:6" x14ac:dyDescent="0.25">
      <c r="A6" t="s">
        <v>10</v>
      </c>
      <c r="B6" s="1">
        <v>269781000</v>
      </c>
      <c r="C6" s="1">
        <v>243078000</v>
      </c>
      <c r="D6" s="1">
        <v>233194000</v>
      </c>
      <c r="E6" s="1">
        <v>212904000</v>
      </c>
      <c r="F6" s="1">
        <v>172599000</v>
      </c>
    </row>
    <row r="7" spans="1:6" x14ac:dyDescent="0.25">
      <c r="A7" t="s">
        <v>11</v>
      </c>
      <c r="B7" s="1">
        <v>57320000</v>
      </c>
      <c r="C7" s="1">
        <v>55266000</v>
      </c>
      <c r="D7" s="1">
        <v>56186000</v>
      </c>
      <c r="E7" s="1">
        <v>54129000</v>
      </c>
      <c r="F7" s="1">
        <v>41374000</v>
      </c>
    </row>
    <row r="8" spans="1:6" x14ac:dyDescent="0.25">
      <c r="A8" t="s">
        <v>12</v>
      </c>
      <c r="B8" s="1">
        <v>11331000</v>
      </c>
      <c r="C8" s="1">
        <v>11359000</v>
      </c>
      <c r="D8" s="1">
        <v>11816000</v>
      </c>
      <c r="E8" s="1">
        <v>11891000</v>
      </c>
      <c r="F8" s="1">
        <v>8823000</v>
      </c>
    </row>
    <row r="9" spans="1:6" x14ac:dyDescent="0.25">
      <c r="A9" t="s">
        <v>13</v>
      </c>
      <c r="B9" s="1">
        <v>11331000</v>
      </c>
      <c r="C9" s="1">
        <v>11359000</v>
      </c>
      <c r="D9" s="1">
        <v>11816000</v>
      </c>
      <c r="E9" s="1">
        <v>11891000</v>
      </c>
      <c r="F9" s="1">
        <v>8823000</v>
      </c>
    </row>
    <row r="10" spans="1:6" x14ac:dyDescent="0.25">
      <c r="A10" t="s">
        <v>14</v>
      </c>
      <c r="B10" s="1">
        <v>45989000</v>
      </c>
      <c r="C10" s="1">
        <v>43907000</v>
      </c>
      <c r="D10" s="1">
        <v>44370000</v>
      </c>
      <c r="E10" s="1">
        <v>42238000</v>
      </c>
      <c r="F10" s="1">
        <v>32551000</v>
      </c>
    </row>
    <row r="11" spans="1:6" x14ac:dyDescent="0.25">
      <c r="A11" t="s">
        <v>15</v>
      </c>
      <c r="B11" s="1">
        <v>212461000</v>
      </c>
      <c r="C11" s="1">
        <v>187812000</v>
      </c>
      <c r="D11" s="1">
        <v>177008000</v>
      </c>
      <c r="E11" s="1">
        <v>158775000</v>
      </c>
      <c r="F11" s="1">
        <v>131225000</v>
      </c>
    </row>
    <row r="12" spans="1:6" x14ac:dyDescent="0.25">
      <c r="A12" t="s">
        <v>16</v>
      </c>
      <c r="B12" s="1">
        <v>76201000</v>
      </c>
      <c r="C12" s="1">
        <v>68593000</v>
      </c>
      <c r="D12" s="1">
        <v>36852000</v>
      </c>
      <c r="E12" s="1">
        <v>12248000</v>
      </c>
      <c r="F12" s="1">
        <v>24879000</v>
      </c>
    </row>
    <row r="13" spans="1:6" x14ac:dyDescent="0.25">
      <c r="A13" t="s">
        <v>17</v>
      </c>
      <c r="B13" s="1">
        <v>2334000</v>
      </c>
      <c r="C13" s="1">
        <v>2271000</v>
      </c>
      <c r="D13" s="1">
        <v>-233000</v>
      </c>
      <c r="E13" s="1">
        <v>-1378000</v>
      </c>
      <c r="F13" s="1">
        <v>-1361000</v>
      </c>
    </row>
    <row r="14" spans="1:6" x14ac:dyDescent="0.25">
      <c r="A14" t="s">
        <v>18</v>
      </c>
      <c r="B14" s="1">
        <v>4499000</v>
      </c>
      <c r="C14" s="1">
        <v>4677000</v>
      </c>
      <c r="D14" s="1">
        <v>2949000</v>
      </c>
      <c r="E14" s="1">
        <v>989000</v>
      </c>
      <c r="F14" s="1">
        <v>448000</v>
      </c>
    </row>
    <row r="15" spans="1:6" x14ac:dyDescent="0.25">
      <c r="A15" t="s">
        <v>19</v>
      </c>
      <c r="B15" s="1">
        <v>2165000</v>
      </c>
      <c r="C15" s="1">
        <v>2406000</v>
      </c>
      <c r="D15" s="1">
        <v>3182000</v>
      </c>
      <c r="E15" s="1">
        <v>2367000</v>
      </c>
      <c r="F15" s="1">
        <v>1809000</v>
      </c>
    </row>
    <row r="16" spans="1:6" x14ac:dyDescent="0.25">
      <c r="A16" t="s">
        <v>20</v>
      </c>
      <c r="B16" s="1">
        <v>14520000</v>
      </c>
      <c r="C16" s="1">
        <v>-2250000</v>
      </c>
      <c r="D16" s="1">
        <v>938000</v>
      </c>
      <c r="E16" s="1">
        <v>-16806000</v>
      </c>
      <c r="F16" s="1">
        <v>14633000</v>
      </c>
    </row>
    <row r="17" spans="1:6" x14ac:dyDescent="0.25">
      <c r="A17" t="s">
        <v>21</v>
      </c>
      <c r="B17" s="1">
        <v>14675000</v>
      </c>
      <c r="C17" s="1">
        <v>-1829000</v>
      </c>
      <c r="D17" s="1">
        <v>1115000</v>
      </c>
      <c r="E17" s="1">
        <v>-16266000</v>
      </c>
      <c r="F17" s="1">
        <v>14652000</v>
      </c>
    </row>
    <row r="18" spans="1:6" x14ac:dyDescent="0.25">
      <c r="A18" t="s">
        <v>22</v>
      </c>
      <c r="B18" s="1">
        <v>-155000</v>
      </c>
      <c r="C18" s="1">
        <v>-421000</v>
      </c>
      <c r="D18" s="1">
        <v>-177000</v>
      </c>
      <c r="E18" s="1">
        <v>-540000</v>
      </c>
      <c r="F18" s="1">
        <v>-19000</v>
      </c>
    </row>
    <row r="19" spans="1:6" x14ac:dyDescent="0.25">
      <c r="A19" t="s">
        <v>23</v>
      </c>
      <c r="B19" s="1">
        <v>93055000</v>
      </c>
      <c r="C19" s="1">
        <v>68614000</v>
      </c>
      <c r="D19" s="1">
        <v>37557000</v>
      </c>
      <c r="E19" s="1">
        <v>-5936000</v>
      </c>
      <c r="F19" s="1">
        <v>38151000</v>
      </c>
    </row>
    <row r="20" spans="1:6" x14ac:dyDescent="0.25">
      <c r="A20" t="s">
        <v>24</v>
      </c>
      <c r="B20" s="1">
        <v>16466000</v>
      </c>
      <c r="C20" s="1">
        <v>9265000</v>
      </c>
      <c r="D20" s="1">
        <v>7120000</v>
      </c>
      <c r="E20" s="1">
        <v>-3217000</v>
      </c>
      <c r="F20" s="1">
        <v>4791000</v>
      </c>
    </row>
    <row r="21" spans="1:6" x14ac:dyDescent="0.25">
      <c r="A21" t="s">
        <v>25</v>
      </c>
      <c r="B21" s="1">
        <v>-107000</v>
      </c>
      <c r="C21" s="1">
        <v>-101000</v>
      </c>
      <c r="D21" s="1">
        <v>-12000</v>
      </c>
      <c r="E21" s="1">
        <v>-3000</v>
      </c>
      <c r="F21" s="1">
        <v>4000</v>
      </c>
    </row>
    <row r="22" spans="1:6" x14ac:dyDescent="0.25">
      <c r="A22" t="s">
        <v>26</v>
      </c>
      <c r="B22" s="1">
        <v>76482000</v>
      </c>
      <c r="C22" s="1">
        <v>59248000</v>
      </c>
      <c r="D22" s="1">
        <v>30425000</v>
      </c>
      <c r="E22" s="1">
        <v>-2722000</v>
      </c>
      <c r="F22" s="1">
        <v>33364000</v>
      </c>
    </row>
    <row r="23" spans="1:6" x14ac:dyDescent="0.25">
      <c r="A23" t="s">
        <v>27</v>
      </c>
      <c r="B23" s="1">
        <v>76482000</v>
      </c>
      <c r="C23" s="13">
        <v>59248000</v>
      </c>
      <c r="D23" s="1">
        <v>30425000</v>
      </c>
      <c r="E23" s="1">
        <v>-2722000</v>
      </c>
      <c r="F23" s="1">
        <v>33364000</v>
      </c>
    </row>
    <row r="24" spans="1:6" x14ac:dyDescent="0.25">
      <c r="A24" t="s">
        <v>28</v>
      </c>
      <c r="B24" s="1">
        <v>76482000</v>
      </c>
      <c r="C24" s="1">
        <v>59248000</v>
      </c>
      <c r="D24" s="1">
        <v>30425000</v>
      </c>
      <c r="E24" s="1">
        <v>-2722000</v>
      </c>
      <c r="F24" s="1">
        <v>33364000</v>
      </c>
    </row>
    <row r="25" spans="1:6" x14ac:dyDescent="0.25">
      <c r="A25" t="s">
        <v>29</v>
      </c>
      <c r="B25" s="1">
        <v>76482000</v>
      </c>
      <c r="C25" s="1">
        <v>59248000</v>
      </c>
      <c r="D25" s="1">
        <v>30425000</v>
      </c>
      <c r="E25" s="1">
        <v>-2722000</v>
      </c>
      <c r="F25" s="1">
        <v>33364000</v>
      </c>
    </row>
    <row r="26" spans="1:6" x14ac:dyDescent="0.25">
      <c r="A26" t="s">
        <v>30</v>
      </c>
      <c r="B26" s="1">
        <v>76482000</v>
      </c>
      <c r="C26" s="1">
        <v>59248000</v>
      </c>
      <c r="D26" s="1">
        <v>30425000</v>
      </c>
      <c r="E26" s="1">
        <v>-2722000</v>
      </c>
      <c r="F26" s="1">
        <v>33364000</v>
      </c>
    </row>
    <row r="27" spans="1:6" x14ac:dyDescent="0.25">
      <c r="A27" t="s">
        <v>31</v>
      </c>
      <c r="B27">
        <v>7.21</v>
      </c>
      <c r="C27">
        <v>5.66</v>
      </c>
      <c r="D27">
        <v>2.95</v>
      </c>
      <c r="E27">
        <v>-0.27</v>
      </c>
      <c r="F27">
        <v>3.3</v>
      </c>
    </row>
    <row r="28" spans="1:6" x14ac:dyDescent="0.25">
      <c r="A28" t="s">
        <v>32</v>
      </c>
      <c r="B28">
        <v>7.08</v>
      </c>
      <c r="C28">
        <v>5.53</v>
      </c>
      <c r="D28">
        <v>2.9</v>
      </c>
      <c r="E28">
        <v>-0.27</v>
      </c>
      <c r="F28">
        <v>3.24</v>
      </c>
    </row>
    <row r="29" spans="1:6" x14ac:dyDescent="0.25">
      <c r="A29" t="s">
        <v>33</v>
      </c>
      <c r="B29" s="1">
        <v>10616250</v>
      </c>
      <c r="C29" s="1">
        <v>10473000</v>
      </c>
      <c r="D29" s="1">
        <v>10304000</v>
      </c>
      <c r="E29" s="1">
        <v>10189000</v>
      </c>
      <c r="F29" s="1">
        <v>10120000</v>
      </c>
    </row>
    <row r="30" spans="1:6" x14ac:dyDescent="0.25">
      <c r="A30" t="s">
        <v>34</v>
      </c>
      <c r="B30" s="1">
        <v>10803500</v>
      </c>
      <c r="C30" s="1">
        <v>10721000</v>
      </c>
      <c r="D30" s="1">
        <v>10492000</v>
      </c>
      <c r="E30" s="1">
        <v>10189000</v>
      </c>
      <c r="F30" s="1">
        <v>10300000</v>
      </c>
    </row>
    <row r="31" spans="1:6" x14ac:dyDescent="0.25">
      <c r="A31" t="s">
        <v>35</v>
      </c>
      <c r="B31" s="1">
        <v>76201000</v>
      </c>
      <c r="C31" s="1">
        <v>68593000</v>
      </c>
      <c r="D31" s="1">
        <v>36852000</v>
      </c>
      <c r="E31" s="1">
        <v>12248000</v>
      </c>
      <c r="F31" s="1">
        <v>24879000</v>
      </c>
    </row>
    <row r="32" spans="1:6" x14ac:dyDescent="0.25">
      <c r="A32" t="s">
        <v>36</v>
      </c>
      <c r="B32" s="1">
        <v>615129000</v>
      </c>
      <c r="C32" s="1">
        <v>569366000</v>
      </c>
      <c r="D32" s="1">
        <v>537933000</v>
      </c>
      <c r="E32" s="1">
        <v>501735000</v>
      </c>
      <c r="F32" s="1">
        <v>444943000</v>
      </c>
    </row>
    <row r="33" spans="1:6" x14ac:dyDescent="0.25">
      <c r="A33" t="s">
        <v>37</v>
      </c>
      <c r="B33" s="1">
        <v>76482000</v>
      </c>
      <c r="C33" s="1">
        <v>59248000</v>
      </c>
      <c r="D33" s="1">
        <v>30425000</v>
      </c>
      <c r="E33" s="1">
        <v>-2722000</v>
      </c>
      <c r="F33" s="1">
        <v>33364000</v>
      </c>
    </row>
    <row r="34" spans="1:6" x14ac:dyDescent="0.25">
      <c r="A34" t="s">
        <v>38</v>
      </c>
      <c r="B34" s="2">
        <v>64403728.280000001</v>
      </c>
      <c r="C34" s="2">
        <v>60830028.759999998</v>
      </c>
      <c r="D34" s="2">
        <v>29521380.039999999</v>
      </c>
      <c r="E34" s="1">
        <v>10128140</v>
      </c>
      <c r="F34" s="2">
        <v>20551997.170000002</v>
      </c>
    </row>
    <row r="35" spans="1:6" x14ac:dyDescent="0.25">
      <c r="A35" t="s">
        <v>39</v>
      </c>
      <c r="B35" s="1">
        <v>4499000</v>
      </c>
      <c r="C35" s="1">
        <v>4677000</v>
      </c>
      <c r="D35" s="1">
        <v>2949000</v>
      </c>
      <c r="E35" s="1">
        <v>989000</v>
      </c>
      <c r="F35" s="1">
        <v>448000</v>
      </c>
    </row>
    <row r="36" spans="1:6" x14ac:dyDescent="0.25">
      <c r="A36" t="s">
        <v>40</v>
      </c>
      <c r="B36" s="1">
        <v>2165000</v>
      </c>
      <c r="C36" s="1">
        <v>2406000</v>
      </c>
      <c r="D36" s="1">
        <v>3182000</v>
      </c>
      <c r="E36" s="1">
        <v>2367000</v>
      </c>
      <c r="F36" s="1">
        <v>1809000</v>
      </c>
    </row>
    <row r="37" spans="1:6" x14ac:dyDescent="0.25">
      <c r="A37" t="s">
        <v>41</v>
      </c>
      <c r="B37" s="1">
        <v>2334000</v>
      </c>
      <c r="C37" s="1">
        <v>2271000</v>
      </c>
      <c r="D37" s="1">
        <v>-233000</v>
      </c>
      <c r="E37" s="1">
        <v>-1378000</v>
      </c>
      <c r="F37" s="1">
        <v>-1361000</v>
      </c>
    </row>
    <row r="38" spans="1:6" x14ac:dyDescent="0.25">
      <c r="A38" t="s">
        <v>42</v>
      </c>
      <c r="B38" s="1">
        <v>95220000</v>
      </c>
      <c r="C38" s="1">
        <v>71020000</v>
      </c>
      <c r="D38" s="1">
        <v>40739000</v>
      </c>
      <c r="E38" s="1">
        <v>-3569000</v>
      </c>
      <c r="F38" s="1">
        <v>39960000</v>
      </c>
    </row>
    <row r="39" spans="1:6" x14ac:dyDescent="0.25">
      <c r="A39" t="s">
        <v>43</v>
      </c>
      <c r="B39" s="1">
        <v>157136000</v>
      </c>
      <c r="C39" s="1">
        <v>123815000</v>
      </c>
      <c r="D39" s="1">
        <v>89402000</v>
      </c>
      <c r="E39" s="1">
        <v>38352000</v>
      </c>
      <c r="F39" s="1">
        <v>74393000</v>
      </c>
    </row>
    <row r="40" spans="1:6" x14ac:dyDescent="0.25">
      <c r="A40" t="s">
        <v>44</v>
      </c>
      <c r="B40" s="1">
        <v>345348000</v>
      </c>
      <c r="C40" s="1">
        <v>326288000</v>
      </c>
      <c r="D40" s="1">
        <v>304739000</v>
      </c>
      <c r="E40" s="1">
        <v>288831000</v>
      </c>
      <c r="F40" s="1">
        <v>272344000</v>
      </c>
    </row>
    <row r="41" spans="1:6" x14ac:dyDescent="0.25">
      <c r="A41" t="s">
        <v>45</v>
      </c>
      <c r="B41" s="1">
        <v>61916000</v>
      </c>
      <c r="C41" s="1">
        <v>52795000</v>
      </c>
      <c r="D41" s="1">
        <v>48663000</v>
      </c>
      <c r="E41" s="1">
        <v>41921000</v>
      </c>
      <c r="F41" s="1">
        <v>34433000</v>
      </c>
    </row>
    <row r="42" spans="1:6" x14ac:dyDescent="0.25">
      <c r="A42" t="s">
        <v>46</v>
      </c>
      <c r="B42" s="1">
        <v>76482000</v>
      </c>
      <c r="C42" s="1">
        <v>59248000</v>
      </c>
      <c r="D42" s="1">
        <v>30425000</v>
      </c>
      <c r="E42" s="1">
        <v>-2722000</v>
      </c>
      <c r="F42" s="1">
        <v>33364000</v>
      </c>
    </row>
    <row r="43" spans="1:6" x14ac:dyDescent="0.25">
      <c r="A43" t="s">
        <v>47</v>
      </c>
      <c r="B43" s="1">
        <v>14675000</v>
      </c>
      <c r="C43" s="1">
        <v>-1829000</v>
      </c>
      <c r="D43" s="1">
        <v>1115000</v>
      </c>
      <c r="E43" s="1">
        <v>-16266000</v>
      </c>
      <c r="F43" s="1">
        <v>14652000</v>
      </c>
    </row>
    <row r="44" spans="1:6" x14ac:dyDescent="0.25">
      <c r="A44" t="s">
        <v>48</v>
      </c>
      <c r="B44" s="1">
        <v>14675000</v>
      </c>
      <c r="C44" s="1">
        <v>-1829000</v>
      </c>
      <c r="D44" s="1">
        <v>1115000</v>
      </c>
      <c r="E44" s="1">
        <v>-16266000</v>
      </c>
      <c r="F44" s="1">
        <v>14652000</v>
      </c>
    </row>
    <row r="45" spans="1:6" x14ac:dyDescent="0.25">
      <c r="A45" t="s">
        <v>49</v>
      </c>
      <c r="B45" s="1">
        <v>142461000</v>
      </c>
      <c r="C45" s="1">
        <v>125644000</v>
      </c>
      <c r="D45" s="1">
        <v>88287000</v>
      </c>
      <c r="E45" s="1">
        <v>54618000</v>
      </c>
      <c r="F45" s="1">
        <v>59741000</v>
      </c>
    </row>
    <row r="46" spans="1:6" x14ac:dyDescent="0.25">
      <c r="A46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51</v>
      </c>
      <c r="B47" s="2">
        <v>2596728.2799999998</v>
      </c>
      <c r="C47" s="2">
        <v>-246971.24</v>
      </c>
      <c r="D47" s="2">
        <v>211380.04</v>
      </c>
      <c r="E47" s="1">
        <v>-3415860</v>
      </c>
      <c r="F47" s="2">
        <v>1839997.17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zoomScale="80" zoomScaleNormal="80" workbookViewId="0">
      <selection activeCell="H30" sqref="H30"/>
    </sheetView>
  </sheetViews>
  <sheetFormatPr defaultRowHeight="15" x14ac:dyDescent="0.25"/>
  <cols>
    <col min="1" max="1" width="51.5703125" customWidth="1"/>
    <col min="2" max="2" width="20.7109375" customWidth="1"/>
    <col min="3" max="3" width="20.5703125" customWidth="1"/>
    <col min="4" max="4" width="20.7109375" customWidth="1"/>
    <col min="5" max="5" width="23.28515625" customWidth="1"/>
  </cols>
  <sheetData>
    <row r="1" spans="1:5" x14ac:dyDescent="0.25">
      <c r="A1" s="3" t="s">
        <v>52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25">
      <c r="A2" t="s">
        <v>53</v>
      </c>
      <c r="B2">
        <v>624894000</v>
      </c>
      <c r="C2">
        <v>527854000</v>
      </c>
      <c r="D2">
        <v>462675000</v>
      </c>
      <c r="E2">
        <v>420549000</v>
      </c>
    </row>
    <row r="3" spans="1:5" x14ac:dyDescent="0.25">
      <c r="A3" t="s">
        <v>54</v>
      </c>
      <c r="B3">
        <v>190867000</v>
      </c>
      <c r="C3">
        <v>172351000</v>
      </c>
      <c r="D3">
        <v>146791000</v>
      </c>
      <c r="E3">
        <v>161580000</v>
      </c>
    </row>
    <row r="4" spans="1:5" x14ac:dyDescent="0.25">
      <c r="A4" t="s">
        <v>55</v>
      </c>
      <c r="B4">
        <v>101202000</v>
      </c>
      <c r="C4">
        <v>86780000</v>
      </c>
      <c r="D4">
        <v>70026000</v>
      </c>
      <c r="E4">
        <v>96049000</v>
      </c>
    </row>
    <row r="5" spans="1:5" x14ac:dyDescent="0.25">
      <c r="A5" t="s">
        <v>56</v>
      </c>
      <c r="B5">
        <v>78779000</v>
      </c>
      <c r="C5">
        <v>73387000</v>
      </c>
      <c r="D5">
        <v>53888000</v>
      </c>
      <c r="E5">
        <v>36220000</v>
      </c>
    </row>
    <row r="6" spans="1:5" x14ac:dyDescent="0.25">
      <c r="A6" t="s">
        <v>57</v>
      </c>
      <c r="B6">
        <v>22423000</v>
      </c>
      <c r="C6">
        <v>13393000</v>
      </c>
      <c r="D6">
        <v>16138000</v>
      </c>
      <c r="E6">
        <v>59829000</v>
      </c>
    </row>
    <row r="7" spans="1:5" x14ac:dyDescent="0.25">
      <c r="A7" t="s">
        <v>58</v>
      </c>
      <c r="B7">
        <v>55451000</v>
      </c>
      <c r="C7">
        <v>52253000</v>
      </c>
      <c r="D7">
        <v>42360000</v>
      </c>
      <c r="E7">
        <v>32891000</v>
      </c>
    </row>
    <row r="8" spans="1:5" x14ac:dyDescent="0.25">
      <c r="A8" t="s">
        <v>59</v>
      </c>
      <c r="B8">
        <v>55451000</v>
      </c>
      <c r="C8">
        <v>52253000</v>
      </c>
      <c r="D8">
        <v>42360000</v>
      </c>
      <c r="E8">
        <v>32891000</v>
      </c>
    </row>
    <row r="9" spans="1:5" x14ac:dyDescent="0.25">
      <c r="A9" t="s">
        <v>60</v>
      </c>
      <c r="B9">
        <v>57451000</v>
      </c>
      <c r="C9">
        <v>53953000</v>
      </c>
      <c r="D9">
        <v>43760000</v>
      </c>
      <c r="E9">
        <v>33991000</v>
      </c>
    </row>
    <row r="10" spans="1:5" x14ac:dyDescent="0.25">
      <c r="A10" t="s">
        <v>61</v>
      </c>
      <c r="B10">
        <v>-2000000</v>
      </c>
      <c r="C10">
        <v>-1700000</v>
      </c>
      <c r="D10">
        <v>-1400000</v>
      </c>
      <c r="E10">
        <v>-1100000</v>
      </c>
    </row>
    <row r="11" spans="1:5" x14ac:dyDescent="0.25">
      <c r="A11" t="s">
        <v>62</v>
      </c>
      <c r="B11">
        <v>34214000</v>
      </c>
      <c r="C11">
        <v>33318000</v>
      </c>
      <c r="D11">
        <v>34405000</v>
      </c>
      <c r="E11">
        <v>32640000</v>
      </c>
    </row>
    <row r="12" spans="1:5" x14ac:dyDescent="0.25">
      <c r="A12" t="s">
        <v>63</v>
      </c>
      <c r="E12">
        <v>32640000</v>
      </c>
    </row>
    <row r="13" spans="1:5" x14ac:dyDescent="0.25">
      <c r="A13" t="s">
        <v>64</v>
      </c>
      <c r="B13">
        <v>37214000</v>
      </c>
      <c r="C13">
        <v>36318000</v>
      </c>
      <c r="D13">
        <v>37205000</v>
      </c>
      <c r="E13">
        <v>35240000</v>
      </c>
    </row>
    <row r="14" spans="1:5" x14ac:dyDescent="0.25">
      <c r="A14" t="s">
        <v>65</v>
      </c>
      <c r="B14">
        <v>-3000000</v>
      </c>
      <c r="C14">
        <v>-3000000</v>
      </c>
      <c r="D14">
        <v>-2800000</v>
      </c>
      <c r="E14">
        <v>-2600000</v>
      </c>
    </row>
    <row r="15" spans="1:5" x14ac:dyDescent="0.25">
      <c r="A15" t="s">
        <v>66</v>
      </c>
      <c r="B15">
        <v>434027000</v>
      </c>
      <c r="C15">
        <v>355503000</v>
      </c>
      <c r="D15">
        <v>315884000</v>
      </c>
      <c r="E15">
        <v>258969000</v>
      </c>
    </row>
    <row r="16" spans="1:5" x14ac:dyDescent="0.25">
      <c r="A16" t="s">
        <v>67</v>
      </c>
      <c r="B16">
        <v>328806000</v>
      </c>
      <c r="C16">
        <v>276690000</v>
      </c>
      <c r="D16">
        <v>252838000</v>
      </c>
      <c r="E16">
        <v>216363000</v>
      </c>
    </row>
    <row r="17" spans="1:5" x14ac:dyDescent="0.25">
      <c r="A17" t="s">
        <v>68</v>
      </c>
      <c r="B17">
        <v>470196000</v>
      </c>
      <c r="C17">
        <v>396801000</v>
      </c>
      <c r="D17">
        <v>349853000</v>
      </c>
      <c r="E17">
        <v>294882000</v>
      </c>
    </row>
    <row r="18" spans="1:5" x14ac:dyDescent="0.25">
      <c r="A18" t="s">
        <v>69</v>
      </c>
      <c r="B18">
        <v>123039000</v>
      </c>
      <c r="C18">
        <v>105293000</v>
      </c>
      <c r="D18">
        <v>91650000</v>
      </c>
      <c r="E18">
        <v>81104000</v>
      </c>
    </row>
    <row r="19" spans="1:5" x14ac:dyDescent="0.25">
      <c r="A19" t="s">
        <v>70</v>
      </c>
      <c r="C19">
        <v>105293000</v>
      </c>
      <c r="D19">
        <v>91650000</v>
      </c>
      <c r="E19">
        <v>81104000</v>
      </c>
    </row>
    <row r="20" spans="1:5" x14ac:dyDescent="0.25">
      <c r="A20" t="s">
        <v>71</v>
      </c>
      <c r="E20">
        <v>128683000</v>
      </c>
    </row>
    <row r="21" spans="1:5" x14ac:dyDescent="0.25">
      <c r="A21" t="s">
        <v>72</v>
      </c>
      <c r="B21">
        <v>300521000</v>
      </c>
      <c r="C21">
        <v>262668000</v>
      </c>
      <c r="D21">
        <v>228183000</v>
      </c>
      <c r="E21">
        <v>188883000</v>
      </c>
    </row>
    <row r="22" spans="1:5" x14ac:dyDescent="0.25">
      <c r="A22" t="s">
        <v>73</v>
      </c>
      <c r="B22">
        <v>46636000</v>
      </c>
      <c r="C22">
        <v>28840000</v>
      </c>
      <c r="D22">
        <v>30020000</v>
      </c>
      <c r="E22">
        <v>24895000</v>
      </c>
    </row>
    <row r="23" spans="1:5" x14ac:dyDescent="0.25">
      <c r="A23" t="s">
        <v>74</v>
      </c>
      <c r="B23">
        <v>-141390000</v>
      </c>
      <c r="C23">
        <v>-120111000</v>
      </c>
      <c r="D23">
        <v>-97015000</v>
      </c>
      <c r="E23">
        <v>-78519000</v>
      </c>
    </row>
    <row r="24" spans="1:5" x14ac:dyDescent="0.25">
      <c r="A24" t="s">
        <v>75</v>
      </c>
      <c r="B24">
        <v>31676000</v>
      </c>
      <c r="C24">
        <v>30476000</v>
      </c>
      <c r="D24">
        <v>26385000</v>
      </c>
      <c r="E24">
        <v>20478000</v>
      </c>
    </row>
    <row r="25" spans="1:5" x14ac:dyDescent="0.25">
      <c r="A25" t="s">
        <v>76</v>
      </c>
      <c r="B25">
        <v>23074000</v>
      </c>
      <c r="C25">
        <v>22789000</v>
      </c>
      <c r="D25">
        <v>20288000</v>
      </c>
      <c r="E25">
        <v>15371000</v>
      </c>
    </row>
    <row r="26" spans="1:5" x14ac:dyDescent="0.25">
      <c r="A26" t="s">
        <v>77</v>
      </c>
      <c r="B26">
        <v>8602000</v>
      </c>
      <c r="C26">
        <v>7687000</v>
      </c>
      <c r="D26">
        <v>6097000</v>
      </c>
      <c r="E26">
        <v>5107000</v>
      </c>
    </row>
    <row r="27" spans="1:5" x14ac:dyDescent="0.25">
      <c r="A27" t="s">
        <v>78</v>
      </c>
      <c r="B27">
        <v>73545000</v>
      </c>
      <c r="C27">
        <v>48337000</v>
      </c>
      <c r="D27">
        <v>36661000</v>
      </c>
      <c r="E27">
        <v>22128000</v>
      </c>
    </row>
    <row r="28" spans="1:5" x14ac:dyDescent="0.25">
      <c r="A28" t="s">
        <v>79</v>
      </c>
      <c r="B28">
        <v>338924000</v>
      </c>
      <c r="C28">
        <v>325979000</v>
      </c>
      <c r="D28">
        <v>316632000</v>
      </c>
      <c r="E28">
        <v>282304000</v>
      </c>
    </row>
    <row r="29" spans="1:5" x14ac:dyDescent="0.25">
      <c r="A29" t="s">
        <v>80</v>
      </c>
      <c r="B29">
        <v>179431000</v>
      </c>
      <c r="C29">
        <v>164917000</v>
      </c>
      <c r="D29">
        <v>155393000</v>
      </c>
      <c r="E29">
        <v>142266000</v>
      </c>
    </row>
    <row r="30" spans="1:5" x14ac:dyDescent="0.25">
      <c r="A30" t="s">
        <v>81</v>
      </c>
      <c r="B30">
        <v>161328000</v>
      </c>
      <c r="C30">
        <v>149690000</v>
      </c>
      <c r="D30">
        <v>142166000</v>
      </c>
      <c r="E30">
        <v>130439000</v>
      </c>
    </row>
    <row r="31" spans="1:5" x14ac:dyDescent="0.25">
      <c r="A31" t="s">
        <v>82</v>
      </c>
      <c r="B31">
        <v>94363000</v>
      </c>
      <c r="C31">
        <v>84981000</v>
      </c>
      <c r="D31">
        <v>79600000</v>
      </c>
      <c r="E31">
        <v>78664000</v>
      </c>
    </row>
    <row r="32" spans="1:5" x14ac:dyDescent="0.25">
      <c r="A32" t="s">
        <v>83</v>
      </c>
      <c r="B32">
        <v>94363000</v>
      </c>
      <c r="C32">
        <v>84981000</v>
      </c>
      <c r="D32">
        <v>79600000</v>
      </c>
      <c r="E32">
        <v>78664000</v>
      </c>
    </row>
    <row r="33" spans="1:5" x14ac:dyDescent="0.25">
      <c r="A33" t="s">
        <v>84</v>
      </c>
      <c r="B33">
        <v>66965000</v>
      </c>
      <c r="C33">
        <v>64709000</v>
      </c>
      <c r="D33">
        <v>62566000</v>
      </c>
      <c r="E33">
        <v>51775000</v>
      </c>
    </row>
    <row r="34" spans="1:5" x14ac:dyDescent="0.25">
      <c r="A34" t="s">
        <v>85</v>
      </c>
      <c r="B34">
        <v>18103000</v>
      </c>
      <c r="C34">
        <v>15227000</v>
      </c>
      <c r="D34">
        <v>13227000</v>
      </c>
      <c r="E34">
        <v>11827000</v>
      </c>
    </row>
    <row r="35" spans="1:5" x14ac:dyDescent="0.25">
      <c r="A35" t="s">
        <v>86</v>
      </c>
      <c r="B35">
        <v>18103000</v>
      </c>
      <c r="C35">
        <v>15227000</v>
      </c>
      <c r="D35">
        <v>13227000</v>
      </c>
      <c r="E35">
        <v>11827000</v>
      </c>
    </row>
    <row r="36" spans="1:5" x14ac:dyDescent="0.25">
      <c r="A36" t="s">
        <v>87</v>
      </c>
      <c r="B36">
        <v>159493000</v>
      </c>
      <c r="C36">
        <v>161062000</v>
      </c>
      <c r="D36">
        <v>161239000</v>
      </c>
      <c r="E36">
        <v>140038000</v>
      </c>
    </row>
    <row r="37" spans="1:5" x14ac:dyDescent="0.25">
      <c r="A37" t="s">
        <v>88</v>
      </c>
      <c r="B37">
        <v>130900000</v>
      </c>
      <c r="C37">
        <v>135611000</v>
      </c>
      <c r="D37">
        <v>140118000</v>
      </c>
      <c r="E37">
        <v>116395000</v>
      </c>
    </row>
    <row r="38" spans="1:5" x14ac:dyDescent="0.25">
      <c r="A38" t="s">
        <v>89</v>
      </c>
      <c r="B38">
        <v>52623000</v>
      </c>
      <c r="C38">
        <v>58314000</v>
      </c>
      <c r="D38">
        <v>67150000</v>
      </c>
      <c r="E38">
        <v>48744000</v>
      </c>
    </row>
    <row r="39" spans="1:5" x14ac:dyDescent="0.25">
      <c r="A39" t="s">
        <v>90</v>
      </c>
      <c r="B39">
        <v>78277000</v>
      </c>
      <c r="C39">
        <v>77297000</v>
      </c>
      <c r="D39">
        <v>72968000</v>
      </c>
      <c r="E39">
        <v>67651000</v>
      </c>
    </row>
    <row r="40" spans="1:5" x14ac:dyDescent="0.25">
      <c r="A40" t="s">
        <v>91</v>
      </c>
      <c r="B40">
        <v>28593000</v>
      </c>
      <c r="C40">
        <v>25451000</v>
      </c>
      <c r="D40">
        <v>21121000</v>
      </c>
      <c r="E40">
        <v>23643000</v>
      </c>
    </row>
    <row r="41" spans="1:5" x14ac:dyDescent="0.25">
      <c r="A41" t="s">
        <v>92</v>
      </c>
      <c r="B41">
        <v>285970000</v>
      </c>
      <c r="C41">
        <v>201875000</v>
      </c>
      <c r="D41">
        <v>146043000</v>
      </c>
      <c r="E41">
        <v>138245000</v>
      </c>
    </row>
    <row r="42" spans="1:5" x14ac:dyDescent="0.25">
      <c r="A42" t="s">
        <v>93</v>
      </c>
      <c r="B42">
        <v>285970000</v>
      </c>
      <c r="C42">
        <v>201875000</v>
      </c>
      <c r="D42">
        <v>146043000</v>
      </c>
      <c r="E42">
        <v>138245000</v>
      </c>
    </row>
    <row r="43" spans="1:5" x14ac:dyDescent="0.25">
      <c r="A43" t="s">
        <v>94</v>
      </c>
      <c r="B43">
        <v>111000</v>
      </c>
      <c r="C43">
        <v>109000</v>
      </c>
      <c r="D43">
        <v>108000</v>
      </c>
      <c r="E43">
        <v>106000</v>
      </c>
    </row>
    <row r="44" spans="1:5" x14ac:dyDescent="0.25">
      <c r="A44" t="s">
        <v>95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96</v>
      </c>
      <c r="B45">
        <v>111000</v>
      </c>
      <c r="C45">
        <v>109000</v>
      </c>
      <c r="D45">
        <v>108000</v>
      </c>
      <c r="E45">
        <v>106000</v>
      </c>
    </row>
    <row r="46" spans="1:5" x14ac:dyDescent="0.25">
      <c r="A46" t="s">
        <v>97</v>
      </c>
      <c r="B46">
        <v>120864000</v>
      </c>
      <c r="C46">
        <v>99025000</v>
      </c>
      <c r="D46">
        <v>75066000</v>
      </c>
      <c r="E46">
        <v>55437000</v>
      </c>
    </row>
    <row r="47" spans="1:5" x14ac:dyDescent="0.25">
      <c r="A47" t="s">
        <v>98</v>
      </c>
      <c r="B47">
        <v>172866000</v>
      </c>
      <c r="C47">
        <v>113618000</v>
      </c>
      <c r="D47">
        <v>83193000</v>
      </c>
      <c r="E47">
        <v>85915000</v>
      </c>
    </row>
    <row r="48" spans="1:5" x14ac:dyDescent="0.25">
      <c r="A48" t="s">
        <v>99</v>
      </c>
      <c r="B48">
        <v>7837000</v>
      </c>
      <c r="C48">
        <v>7837000</v>
      </c>
      <c r="D48">
        <v>7837000</v>
      </c>
      <c r="E48">
        <v>1837000</v>
      </c>
    </row>
    <row r="49" spans="1:5" x14ac:dyDescent="0.25">
      <c r="A49" t="s">
        <v>100</v>
      </c>
      <c r="B49">
        <v>-34000</v>
      </c>
      <c r="C49">
        <v>-3040000</v>
      </c>
      <c r="D49">
        <v>-4487000</v>
      </c>
      <c r="E49">
        <v>-1376000</v>
      </c>
    </row>
    <row r="50" spans="1:5" x14ac:dyDescent="0.25">
      <c r="A50" t="s">
        <v>101</v>
      </c>
      <c r="B50">
        <v>-34000</v>
      </c>
      <c r="C50">
        <v>-3040000</v>
      </c>
      <c r="D50">
        <v>-4487000</v>
      </c>
      <c r="E50">
        <v>-1376000</v>
      </c>
    </row>
    <row r="51" spans="1:5" x14ac:dyDescent="0.25">
      <c r="A51" t="s">
        <v>102</v>
      </c>
      <c r="B51">
        <v>338593000</v>
      </c>
      <c r="C51">
        <v>260189000</v>
      </c>
      <c r="D51">
        <v>213193000</v>
      </c>
      <c r="E51">
        <v>186989000</v>
      </c>
    </row>
    <row r="52" spans="1:5" x14ac:dyDescent="0.25">
      <c r="A52" t="s">
        <v>103</v>
      </c>
      <c r="B52">
        <v>285970000</v>
      </c>
      <c r="C52">
        <v>201875000</v>
      </c>
      <c r="D52">
        <v>146043000</v>
      </c>
      <c r="E52">
        <v>138245000</v>
      </c>
    </row>
    <row r="53" spans="1:5" x14ac:dyDescent="0.25">
      <c r="A53" t="s">
        <v>104</v>
      </c>
      <c r="B53">
        <v>78277000</v>
      </c>
      <c r="C53">
        <v>77297000</v>
      </c>
      <c r="D53">
        <v>72968000</v>
      </c>
      <c r="E53">
        <v>67651000</v>
      </c>
    </row>
    <row r="54" spans="1:5" x14ac:dyDescent="0.25">
      <c r="A54" t="s">
        <v>105</v>
      </c>
      <c r="B54">
        <v>254294000</v>
      </c>
      <c r="C54">
        <v>171399000</v>
      </c>
      <c r="D54">
        <v>119658000</v>
      </c>
      <c r="E54">
        <v>117767000</v>
      </c>
    </row>
    <row r="55" spans="1:5" x14ac:dyDescent="0.25">
      <c r="A55" t="s">
        <v>106</v>
      </c>
      <c r="B55">
        <v>11436000</v>
      </c>
      <c r="C55">
        <v>7434000</v>
      </c>
      <c r="D55">
        <v>-8602000</v>
      </c>
      <c r="E55">
        <v>19314000</v>
      </c>
    </row>
    <row r="56" spans="1:5" x14ac:dyDescent="0.25">
      <c r="A56" t="s">
        <v>107</v>
      </c>
      <c r="B56">
        <v>338593000</v>
      </c>
      <c r="C56">
        <v>260189000</v>
      </c>
      <c r="D56">
        <v>213193000</v>
      </c>
      <c r="E56">
        <v>186989000</v>
      </c>
    </row>
    <row r="57" spans="1:5" x14ac:dyDescent="0.25">
      <c r="A57" t="s">
        <v>108</v>
      </c>
      <c r="B57">
        <v>254294000</v>
      </c>
      <c r="C57">
        <v>171399000</v>
      </c>
      <c r="D57">
        <v>119658000</v>
      </c>
      <c r="E57">
        <v>117767000</v>
      </c>
    </row>
    <row r="58" spans="1:5" x14ac:dyDescent="0.25">
      <c r="A58" t="s">
        <v>109</v>
      </c>
      <c r="B58">
        <v>130900000</v>
      </c>
      <c r="C58">
        <v>135611000</v>
      </c>
      <c r="D58">
        <v>140118000</v>
      </c>
      <c r="E58">
        <v>116395000</v>
      </c>
    </row>
    <row r="59" spans="1:5" x14ac:dyDescent="0.25">
      <c r="A59" t="s">
        <v>110</v>
      </c>
      <c r="D59">
        <v>13262000</v>
      </c>
      <c r="E59">
        <v>12524000</v>
      </c>
    </row>
    <row r="60" spans="1:5" x14ac:dyDescent="0.25">
      <c r="A60" t="s">
        <v>111</v>
      </c>
      <c r="B60">
        <v>11108000</v>
      </c>
      <c r="C60">
        <v>10898000</v>
      </c>
      <c r="D60">
        <v>10757000</v>
      </c>
      <c r="E60">
        <v>10640000</v>
      </c>
    </row>
    <row r="61" spans="1:5" x14ac:dyDescent="0.25">
      <c r="A61" t="s">
        <v>112</v>
      </c>
      <c r="B61">
        <v>10593000</v>
      </c>
      <c r="C61">
        <v>10383000</v>
      </c>
      <c r="D61">
        <v>10242000</v>
      </c>
      <c r="E61">
        <v>10180000</v>
      </c>
    </row>
    <row r="62" spans="1:5" x14ac:dyDescent="0.25">
      <c r="A62" t="s">
        <v>113</v>
      </c>
      <c r="B62">
        <v>515000</v>
      </c>
      <c r="C62">
        <v>515000</v>
      </c>
      <c r="D62">
        <v>515000</v>
      </c>
      <c r="E62">
        <v>460000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zoomScale="80" zoomScaleNormal="80" workbookViewId="0">
      <selection activeCell="G4" sqref="G4"/>
    </sheetView>
  </sheetViews>
  <sheetFormatPr defaultRowHeight="15" x14ac:dyDescent="0.25"/>
  <cols>
    <col min="1" max="1" width="52.85546875" customWidth="1"/>
    <col min="2" max="2" width="19.42578125" customWidth="1"/>
    <col min="3" max="3" width="18.140625" customWidth="1"/>
    <col min="4" max="4" width="17" customWidth="1"/>
    <col min="5" max="5" width="18.28515625" customWidth="1"/>
    <col min="6" max="6" width="17.5703125" customWidth="1"/>
  </cols>
  <sheetData>
    <row r="1" spans="1:6" x14ac:dyDescent="0.25">
      <c r="A1" s="3" t="s">
        <v>114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115</v>
      </c>
    </row>
    <row r="2" spans="1:6" x14ac:dyDescent="0.25">
      <c r="A2" t="s">
        <v>116</v>
      </c>
      <c r="B2">
        <v>130691000</v>
      </c>
      <c r="C2">
        <v>115877000</v>
      </c>
      <c r="D2">
        <v>84946000</v>
      </c>
      <c r="E2">
        <v>46752000</v>
      </c>
      <c r="F2">
        <v>46327000</v>
      </c>
    </row>
    <row r="3" spans="1:6" x14ac:dyDescent="0.25">
      <c r="A3" t="s">
        <v>117</v>
      </c>
      <c r="B3">
        <v>130691000</v>
      </c>
      <c r="C3">
        <v>115877000</v>
      </c>
      <c r="D3">
        <v>84946000</v>
      </c>
      <c r="E3">
        <v>46752000</v>
      </c>
      <c r="F3">
        <v>46327000</v>
      </c>
    </row>
    <row r="4" spans="1:6" x14ac:dyDescent="0.25">
      <c r="A4" t="s">
        <v>118</v>
      </c>
      <c r="B4">
        <v>76482000</v>
      </c>
      <c r="C4">
        <v>59248000</v>
      </c>
      <c r="D4">
        <v>30425000</v>
      </c>
      <c r="E4">
        <v>-2722000</v>
      </c>
      <c r="F4">
        <v>33364000</v>
      </c>
    </row>
    <row r="5" spans="1:6" x14ac:dyDescent="0.25">
      <c r="A5" t="s">
        <v>119</v>
      </c>
      <c r="B5">
        <v>61916000</v>
      </c>
      <c r="C5">
        <v>52795000</v>
      </c>
      <c r="D5">
        <v>48663000</v>
      </c>
      <c r="E5">
        <v>41921000</v>
      </c>
      <c r="F5">
        <v>34433000</v>
      </c>
    </row>
    <row r="6" spans="1:6" x14ac:dyDescent="0.25">
      <c r="A6" t="s">
        <v>120</v>
      </c>
      <c r="B6">
        <v>61916000</v>
      </c>
      <c r="C6">
        <v>52795000</v>
      </c>
      <c r="D6">
        <v>48663000</v>
      </c>
      <c r="E6">
        <v>41921000</v>
      </c>
      <c r="F6">
        <v>34433000</v>
      </c>
    </row>
    <row r="7" spans="1:6" x14ac:dyDescent="0.25">
      <c r="A7" t="s">
        <v>121</v>
      </c>
      <c r="B7">
        <v>9040000</v>
      </c>
      <c r="C7">
        <v>-4648000</v>
      </c>
      <c r="D7">
        <v>-5876000</v>
      </c>
      <c r="E7">
        <v>-8148000</v>
      </c>
      <c r="F7">
        <v>-310000</v>
      </c>
    </row>
    <row r="8" spans="1:6" x14ac:dyDescent="0.25">
      <c r="A8" t="s">
        <v>122</v>
      </c>
      <c r="B8">
        <v>9040000</v>
      </c>
      <c r="C8">
        <v>-4648000</v>
      </c>
      <c r="D8">
        <v>-5876000</v>
      </c>
      <c r="E8">
        <v>-8148000</v>
      </c>
      <c r="F8">
        <v>-310000</v>
      </c>
    </row>
    <row r="9" spans="1:6" x14ac:dyDescent="0.25">
      <c r="A9" t="s">
        <v>123</v>
      </c>
      <c r="B9">
        <v>20065000</v>
      </c>
      <c r="C9">
        <v>22011000</v>
      </c>
      <c r="D9">
        <v>24023000</v>
      </c>
      <c r="E9">
        <v>19621000</v>
      </c>
      <c r="F9">
        <v>12757000</v>
      </c>
    </row>
    <row r="10" spans="1:6" x14ac:dyDescent="0.25">
      <c r="A10" t="s">
        <v>124</v>
      </c>
      <c r="B10">
        <v>-14673000</v>
      </c>
      <c r="C10">
        <v>2012000</v>
      </c>
      <c r="D10">
        <v>-748000</v>
      </c>
      <c r="E10">
        <v>16966000</v>
      </c>
      <c r="F10">
        <v>-14306000</v>
      </c>
    </row>
    <row r="11" spans="1:6" x14ac:dyDescent="0.25">
      <c r="A11" t="s">
        <v>125</v>
      </c>
      <c r="B11">
        <v>-22139000</v>
      </c>
      <c r="C11">
        <v>-15541000</v>
      </c>
      <c r="D11">
        <v>-11541000</v>
      </c>
      <c r="E11">
        <v>-20886000</v>
      </c>
      <c r="F11">
        <v>-19611000</v>
      </c>
    </row>
    <row r="12" spans="1:6" x14ac:dyDescent="0.25">
      <c r="A12" t="s">
        <v>126</v>
      </c>
      <c r="B12">
        <v>-5878000</v>
      </c>
      <c r="C12">
        <v>-3249000</v>
      </c>
      <c r="D12">
        <v>-8348000</v>
      </c>
      <c r="E12">
        <v>-8622000</v>
      </c>
      <c r="F12">
        <v>-9145000</v>
      </c>
    </row>
    <row r="13" spans="1:6" x14ac:dyDescent="0.25">
      <c r="A13" t="s">
        <v>127</v>
      </c>
      <c r="B13">
        <v>-5878000</v>
      </c>
      <c r="C13">
        <v>-3249000</v>
      </c>
      <c r="D13">
        <v>-8348000</v>
      </c>
      <c r="E13">
        <v>-8622000</v>
      </c>
      <c r="F13">
        <v>-9145000</v>
      </c>
    </row>
    <row r="14" spans="1:6" x14ac:dyDescent="0.25">
      <c r="A14" t="s">
        <v>128</v>
      </c>
      <c r="B14">
        <v>-5169000</v>
      </c>
      <c r="C14">
        <v>-1884000</v>
      </c>
      <c r="D14">
        <v>1449000</v>
      </c>
      <c r="E14">
        <v>-2592000</v>
      </c>
      <c r="F14">
        <v>-9487000</v>
      </c>
    </row>
    <row r="15" spans="1:6" x14ac:dyDescent="0.25">
      <c r="A15" t="s">
        <v>129</v>
      </c>
      <c r="B15">
        <v>1922000</v>
      </c>
      <c r="C15">
        <v>68000</v>
      </c>
      <c r="D15">
        <v>3045000</v>
      </c>
      <c r="E15">
        <v>1387000</v>
      </c>
      <c r="F15">
        <v>5725000</v>
      </c>
    </row>
    <row r="16" spans="1:6" x14ac:dyDescent="0.25">
      <c r="A16" t="s">
        <v>130</v>
      </c>
      <c r="B16">
        <v>8892000</v>
      </c>
      <c r="C16">
        <v>2972000</v>
      </c>
      <c r="D16">
        <v>5473000</v>
      </c>
      <c r="E16">
        <v>2945000</v>
      </c>
      <c r="F16">
        <v>3602000</v>
      </c>
    </row>
    <row r="17" spans="1:6" x14ac:dyDescent="0.25">
      <c r="A17" t="s">
        <v>131</v>
      </c>
      <c r="B17">
        <v>8892000</v>
      </c>
      <c r="C17">
        <v>2972000</v>
      </c>
      <c r="D17">
        <v>5473000</v>
      </c>
      <c r="E17">
        <v>2945000</v>
      </c>
      <c r="F17">
        <v>3602000</v>
      </c>
    </row>
    <row r="18" spans="1:6" x14ac:dyDescent="0.25">
      <c r="A18" t="s">
        <v>132</v>
      </c>
      <c r="B18">
        <v>-6970000</v>
      </c>
      <c r="C18">
        <v>-2904000</v>
      </c>
      <c r="D18">
        <v>-2428000</v>
      </c>
      <c r="E18">
        <v>-1558000</v>
      </c>
      <c r="F18">
        <v>2123000</v>
      </c>
    </row>
    <row r="19" spans="1:6" x14ac:dyDescent="0.25">
      <c r="A19" t="s">
        <v>133</v>
      </c>
      <c r="B19">
        <v>-14602000</v>
      </c>
      <c r="C19">
        <v>-14483000</v>
      </c>
      <c r="D19">
        <v>-12265000</v>
      </c>
      <c r="E19">
        <v>-13275000</v>
      </c>
      <c r="F19">
        <v>-9018000</v>
      </c>
    </row>
    <row r="20" spans="1:6" x14ac:dyDescent="0.25">
      <c r="A20" t="s">
        <v>134</v>
      </c>
      <c r="B20">
        <v>1588000</v>
      </c>
      <c r="C20">
        <v>4007000</v>
      </c>
      <c r="D20">
        <v>4578000</v>
      </c>
      <c r="E20">
        <v>2216000</v>
      </c>
      <c r="F20">
        <v>2314000</v>
      </c>
    </row>
    <row r="21" spans="1:6" x14ac:dyDescent="0.25">
      <c r="A21" t="s">
        <v>135</v>
      </c>
      <c r="B21">
        <v>-132743000</v>
      </c>
      <c r="C21">
        <v>-94342000</v>
      </c>
      <c r="D21">
        <v>-49833000</v>
      </c>
      <c r="E21">
        <v>-37601000</v>
      </c>
      <c r="F21">
        <v>-58154000</v>
      </c>
    </row>
    <row r="22" spans="1:6" x14ac:dyDescent="0.25">
      <c r="A22" t="s">
        <v>136</v>
      </c>
      <c r="B22">
        <v>-132743000</v>
      </c>
      <c r="C22">
        <v>-94342000</v>
      </c>
      <c r="D22">
        <v>-49833000</v>
      </c>
      <c r="E22">
        <v>-37601000</v>
      </c>
      <c r="F22">
        <v>-58154000</v>
      </c>
    </row>
    <row r="23" spans="1:6" x14ac:dyDescent="0.25">
      <c r="A23" t="s">
        <v>137</v>
      </c>
      <c r="B23">
        <v>-115903000</v>
      </c>
      <c r="C23">
        <v>-77658000</v>
      </c>
      <c r="D23">
        <v>-48133000</v>
      </c>
      <c r="E23">
        <v>-58321000</v>
      </c>
      <c r="F23">
        <v>-55396000</v>
      </c>
    </row>
    <row r="24" spans="1:6" x14ac:dyDescent="0.25">
      <c r="A24" t="s">
        <v>138</v>
      </c>
      <c r="B24">
        <v>-120131000</v>
      </c>
      <c r="C24">
        <v>-82999000</v>
      </c>
      <c r="D24">
        <v>-52729000</v>
      </c>
      <c r="E24">
        <v>-63645000</v>
      </c>
      <c r="F24">
        <v>-61053000</v>
      </c>
    </row>
    <row r="25" spans="1:6" x14ac:dyDescent="0.25">
      <c r="A25" t="s">
        <v>139</v>
      </c>
      <c r="B25">
        <v>4228000</v>
      </c>
      <c r="C25">
        <v>5341000</v>
      </c>
      <c r="D25">
        <v>4596000</v>
      </c>
      <c r="E25">
        <v>5324000</v>
      </c>
      <c r="F25">
        <v>5657000</v>
      </c>
    </row>
    <row r="26" spans="1:6" x14ac:dyDescent="0.25">
      <c r="A26" t="s">
        <v>140</v>
      </c>
      <c r="B26">
        <v>-4973000</v>
      </c>
      <c r="C26">
        <v>-7082000</v>
      </c>
      <c r="D26">
        <v>-5839000</v>
      </c>
      <c r="E26">
        <v>-8316000</v>
      </c>
      <c r="F26">
        <v>-1985000</v>
      </c>
    </row>
    <row r="27" spans="1:6" x14ac:dyDescent="0.25">
      <c r="A27" t="s">
        <v>141</v>
      </c>
      <c r="B27">
        <v>-4973000</v>
      </c>
      <c r="C27">
        <v>-7082000</v>
      </c>
      <c r="D27">
        <v>-5839000</v>
      </c>
      <c r="E27">
        <v>-8316000</v>
      </c>
      <c r="F27">
        <v>-1985000</v>
      </c>
    </row>
    <row r="28" spans="1:6" x14ac:dyDescent="0.25">
      <c r="A28" t="s">
        <v>142</v>
      </c>
      <c r="B28">
        <v>-11867000</v>
      </c>
      <c r="C28">
        <v>-9602000</v>
      </c>
      <c r="D28">
        <v>4139000</v>
      </c>
      <c r="E28">
        <v>29036000</v>
      </c>
      <c r="F28">
        <v>-773000</v>
      </c>
    </row>
    <row r="29" spans="1:6" x14ac:dyDescent="0.25">
      <c r="A29" t="s">
        <v>143</v>
      </c>
      <c r="B29">
        <v>-51089000</v>
      </c>
      <c r="C29">
        <v>-26005000</v>
      </c>
      <c r="D29">
        <v>-1488000</v>
      </c>
      <c r="E29">
        <v>-2565000</v>
      </c>
      <c r="F29">
        <v>-60157000</v>
      </c>
    </row>
    <row r="30" spans="1:6" x14ac:dyDescent="0.25">
      <c r="A30" t="s">
        <v>144</v>
      </c>
      <c r="B30">
        <v>39222000</v>
      </c>
      <c r="C30">
        <v>16403000</v>
      </c>
      <c r="D30">
        <v>5627000</v>
      </c>
      <c r="E30">
        <v>31601000</v>
      </c>
      <c r="F30">
        <v>59384000</v>
      </c>
    </row>
    <row r="31" spans="1:6" x14ac:dyDescent="0.25">
      <c r="A31" t="s">
        <v>145</v>
      </c>
      <c r="B31">
        <v>-5938000</v>
      </c>
      <c r="C31">
        <v>-11812000</v>
      </c>
      <c r="D31">
        <v>-15879000</v>
      </c>
      <c r="E31">
        <v>9718000</v>
      </c>
      <c r="F31">
        <v>6291000</v>
      </c>
    </row>
    <row r="32" spans="1:6" x14ac:dyDescent="0.25">
      <c r="A32" t="s">
        <v>146</v>
      </c>
      <c r="B32">
        <v>-5938000</v>
      </c>
      <c r="C32">
        <v>-11812000</v>
      </c>
      <c r="D32">
        <v>-15879000</v>
      </c>
      <c r="E32">
        <v>9718000</v>
      </c>
      <c r="F32">
        <v>6291000</v>
      </c>
    </row>
    <row r="33" spans="1:6" x14ac:dyDescent="0.25">
      <c r="A33" t="s">
        <v>147</v>
      </c>
      <c r="B33">
        <v>-5909000</v>
      </c>
      <c r="C33">
        <v>-11812000</v>
      </c>
      <c r="D33">
        <v>-15879000</v>
      </c>
      <c r="E33">
        <v>15718000</v>
      </c>
      <c r="F33">
        <v>6291000</v>
      </c>
    </row>
    <row r="34" spans="1:6" x14ac:dyDescent="0.25">
      <c r="A34" t="s">
        <v>148</v>
      </c>
      <c r="B34">
        <v>-7687000</v>
      </c>
      <c r="C34">
        <v>-11894000</v>
      </c>
      <c r="D34">
        <v>-8331000</v>
      </c>
      <c r="E34">
        <v>11719000</v>
      </c>
      <c r="F34">
        <v>6088000</v>
      </c>
    </row>
    <row r="35" spans="1:6" x14ac:dyDescent="0.25">
      <c r="A35" t="s">
        <v>149</v>
      </c>
      <c r="B35">
        <v>746000</v>
      </c>
      <c r="C35">
        <v>0</v>
      </c>
      <c r="D35">
        <v>0</v>
      </c>
      <c r="E35">
        <v>21166000</v>
      </c>
      <c r="F35">
        <v>19003000</v>
      </c>
    </row>
    <row r="36" spans="1:6" x14ac:dyDescent="0.25">
      <c r="A36" t="s">
        <v>150</v>
      </c>
      <c r="B36">
        <v>-8433000</v>
      </c>
      <c r="C36">
        <v>-11894000</v>
      </c>
      <c r="D36">
        <v>-8331000</v>
      </c>
      <c r="E36">
        <v>-9447000</v>
      </c>
      <c r="F36">
        <v>-12915000</v>
      </c>
    </row>
    <row r="37" spans="1:6" x14ac:dyDescent="0.25">
      <c r="A37" t="s">
        <v>151</v>
      </c>
      <c r="B37">
        <v>1778000</v>
      </c>
      <c r="C37">
        <v>82000</v>
      </c>
      <c r="D37">
        <v>-7548000</v>
      </c>
      <c r="E37">
        <v>-7548000</v>
      </c>
      <c r="F37">
        <v>203000</v>
      </c>
    </row>
    <row r="38" spans="1:6" x14ac:dyDescent="0.25">
      <c r="A38" t="s">
        <v>152</v>
      </c>
      <c r="B38">
        <v>9685000</v>
      </c>
      <c r="C38">
        <v>5142000</v>
      </c>
      <c r="D38">
        <v>18129000</v>
      </c>
      <c r="E38">
        <v>41553000</v>
      </c>
      <c r="F38">
        <v>7956000</v>
      </c>
    </row>
    <row r="39" spans="1:6" x14ac:dyDescent="0.25">
      <c r="A39" t="s">
        <v>153</v>
      </c>
      <c r="B39">
        <v>-7907000</v>
      </c>
      <c r="C39">
        <v>-5060000</v>
      </c>
      <c r="D39">
        <v>-25677000</v>
      </c>
      <c r="E39">
        <v>-37554000</v>
      </c>
      <c r="F39">
        <v>-7753000</v>
      </c>
    </row>
    <row r="40" spans="1:6" x14ac:dyDescent="0.25">
      <c r="A40" t="s">
        <v>154</v>
      </c>
      <c r="C40">
        <v>0</v>
      </c>
      <c r="D40">
        <v>0</v>
      </c>
      <c r="E40">
        <v>-6000000</v>
      </c>
      <c r="F40">
        <v>0</v>
      </c>
    </row>
    <row r="41" spans="1:6" x14ac:dyDescent="0.25">
      <c r="A41" t="s">
        <v>155</v>
      </c>
      <c r="C41">
        <v>0</v>
      </c>
      <c r="D41">
        <v>0</v>
      </c>
      <c r="E41">
        <v>-6000000</v>
      </c>
      <c r="F41">
        <v>0</v>
      </c>
    </row>
    <row r="42" spans="1:6" x14ac:dyDescent="0.25">
      <c r="A42" t="s">
        <v>156</v>
      </c>
      <c r="D42">
        <v>-271000</v>
      </c>
      <c r="E42">
        <v>-248000</v>
      </c>
      <c r="F42">
        <v>-162000</v>
      </c>
    </row>
    <row r="43" spans="1:6" x14ac:dyDescent="0.25">
      <c r="A43" t="s">
        <v>157</v>
      </c>
      <c r="B43">
        <v>70687000</v>
      </c>
      <c r="C43">
        <v>82312000</v>
      </c>
      <c r="D43">
        <v>73890000</v>
      </c>
      <c r="E43">
        <v>54253000</v>
      </c>
      <c r="F43">
        <v>36477000</v>
      </c>
    </row>
    <row r="44" spans="1:6" x14ac:dyDescent="0.25">
      <c r="A44" t="s">
        <v>158</v>
      </c>
      <c r="B44">
        <v>-7990000</v>
      </c>
      <c r="C44">
        <v>9723000</v>
      </c>
      <c r="D44">
        <v>19234000</v>
      </c>
      <c r="E44">
        <v>18869000</v>
      </c>
      <c r="F44">
        <v>-5536000</v>
      </c>
    </row>
    <row r="45" spans="1:6" x14ac:dyDescent="0.25">
      <c r="A45" t="s">
        <v>159</v>
      </c>
      <c r="B45">
        <v>-223000</v>
      </c>
      <c r="C45">
        <v>-1301000</v>
      </c>
      <c r="D45">
        <v>403000</v>
      </c>
      <c r="E45">
        <v>-1093000</v>
      </c>
      <c r="F45">
        <v>-364000</v>
      </c>
    </row>
    <row r="46" spans="1:6" x14ac:dyDescent="0.25">
      <c r="A46" t="s">
        <v>160</v>
      </c>
      <c r="B46">
        <v>78677000</v>
      </c>
      <c r="C46">
        <v>73890000</v>
      </c>
      <c r="D46">
        <v>54253000</v>
      </c>
      <c r="E46">
        <v>36477000</v>
      </c>
      <c r="F46">
        <v>42377000</v>
      </c>
    </row>
    <row r="47" spans="1:6" x14ac:dyDescent="0.25">
      <c r="A47" t="s">
        <v>161</v>
      </c>
      <c r="B47">
        <v>10920000</v>
      </c>
      <c r="C47">
        <v>12308000</v>
      </c>
      <c r="D47">
        <v>11179000</v>
      </c>
      <c r="E47">
        <v>6035000</v>
      </c>
      <c r="F47">
        <v>3688000</v>
      </c>
    </row>
    <row r="48" spans="1:6" x14ac:dyDescent="0.25">
      <c r="A48" t="s">
        <v>162</v>
      </c>
      <c r="B48">
        <v>2157000</v>
      </c>
      <c r="C48">
        <v>2364000</v>
      </c>
      <c r="D48">
        <v>3112000</v>
      </c>
      <c r="E48">
        <v>2142000</v>
      </c>
      <c r="F48">
        <v>1772000</v>
      </c>
    </row>
    <row r="49" spans="1:6" x14ac:dyDescent="0.25">
      <c r="A49" t="s">
        <v>163</v>
      </c>
      <c r="B49">
        <v>-120131000</v>
      </c>
      <c r="C49">
        <v>-82999000</v>
      </c>
      <c r="D49">
        <v>-52729000</v>
      </c>
      <c r="E49">
        <v>-63645000</v>
      </c>
      <c r="F49">
        <v>-61053000</v>
      </c>
    </row>
    <row r="50" spans="1:6" x14ac:dyDescent="0.25">
      <c r="A50" t="s">
        <v>164</v>
      </c>
      <c r="B50">
        <v>10431000</v>
      </c>
      <c r="C50">
        <v>5142000</v>
      </c>
      <c r="D50">
        <v>18129000</v>
      </c>
      <c r="E50">
        <v>62719000</v>
      </c>
      <c r="F50">
        <v>26959000</v>
      </c>
    </row>
    <row r="51" spans="1:6" x14ac:dyDescent="0.25">
      <c r="A51" t="s">
        <v>165</v>
      </c>
      <c r="B51">
        <v>-16340000</v>
      </c>
      <c r="C51">
        <v>-16954000</v>
      </c>
      <c r="D51">
        <v>-34008000</v>
      </c>
      <c r="E51">
        <v>-47001000</v>
      </c>
      <c r="F51">
        <v>-20668000</v>
      </c>
    </row>
    <row r="52" spans="1:6" x14ac:dyDescent="0.25">
      <c r="A52" t="s">
        <v>166</v>
      </c>
      <c r="C52">
        <v>0</v>
      </c>
      <c r="D52">
        <v>0</v>
      </c>
      <c r="E52">
        <v>-6000000</v>
      </c>
      <c r="F52">
        <v>0</v>
      </c>
    </row>
    <row r="53" spans="1:6" x14ac:dyDescent="0.25">
      <c r="A53" t="s">
        <v>167</v>
      </c>
      <c r="B53">
        <v>10560000</v>
      </c>
      <c r="C53">
        <v>32878000</v>
      </c>
      <c r="D53">
        <v>32217000</v>
      </c>
      <c r="E53">
        <v>-16893000</v>
      </c>
      <c r="F53">
        <v>-14726000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>
      <selection activeCell="H9" sqref="H9"/>
    </sheetView>
  </sheetViews>
  <sheetFormatPr defaultRowHeight="15" x14ac:dyDescent="0.25"/>
  <cols>
    <col min="1" max="1" width="17.7109375" customWidth="1"/>
    <col min="2" max="2" width="19.42578125" customWidth="1"/>
    <col min="3" max="3" width="44.7109375" customWidth="1"/>
    <col min="4" max="4" width="25.5703125" customWidth="1"/>
    <col min="5" max="5" width="18.42578125" customWidth="1"/>
    <col min="6" max="6" width="17.7109375" customWidth="1"/>
  </cols>
  <sheetData>
    <row r="1" spans="1:6" ht="14.25" customHeight="1" x14ac:dyDescent="0.25">
      <c r="A1" s="4" t="s">
        <v>168</v>
      </c>
      <c r="B1" s="4" t="s">
        <v>169</v>
      </c>
      <c r="C1" s="4" t="s">
        <v>170</v>
      </c>
      <c r="D1" s="4" t="s">
        <v>171</v>
      </c>
      <c r="E1" s="12" t="s">
        <v>172</v>
      </c>
      <c r="F1" s="4" t="s">
        <v>173</v>
      </c>
    </row>
    <row r="2" spans="1:6" x14ac:dyDescent="0.25">
      <c r="A2" s="3" t="s">
        <v>174</v>
      </c>
      <c r="B2" t="s">
        <v>175</v>
      </c>
      <c r="C2" t="s">
        <v>176</v>
      </c>
      <c r="D2" s="7">
        <f>'Income Statement'!E5/Table1[[#This Row],[12/31/2022]]</f>
        <v>0.43805339865326287</v>
      </c>
      <c r="E2" s="7">
        <f>'Income Statement'!D5/Table1[[#This Row],[12/31/2023]]</f>
        <v>0.46982088955000567</v>
      </c>
      <c r="F2" s="7">
        <f>'Income Statement'!C5/Table1[[#This Row],[12/31/2024]]</f>
        <v>0.48854393464156787</v>
      </c>
    </row>
    <row r="3" spans="1:6" x14ac:dyDescent="0.25">
      <c r="A3" s="3"/>
      <c r="B3" s="8" t="s">
        <v>177</v>
      </c>
      <c r="C3" t="s">
        <v>178</v>
      </c>
      <c r="D3" s="7">
        <f>'Income Statement'!E12/'Income Statement'!E2</f>
        <v>2.3829581912242232E-2</v>
      </c>
      <c r="E3" s="7">
        <f>'Income Statement'!D12/'Income Statement'!D2</f>
        <v>6.4114407996033296E-2</v>
      </c>
      <c r="F3" s="7">
        <f>'Income Statement'!C12/'Income Statement'!C2</f>
        <v>0.1075194487420038</v>
      </c>
    </row>
    <row r="4" spans="1:6" x14ac:dyDescent="0.25">
      <c r="A4" s="5"/>
      <c r="B4" t="s">
        <v>179</v>
      </c>
      <c r="C4" t="s">
        <v>180</v>
      </c>
      <c r="D4" s="7">
        <f>'Income Statement'!E23/'Income Statement'!E2</f>
        <v>-5.2958950004183018E-3</v>
      </c>
      <c r="E4" s="7">
        <f>'Income Statement'!D23/'Income Statement'!D2</f>
        <v>5.2932835755978319E-2</v>
      </c>
      <c r="F4" s="7">
        <f>'Income Statement'!C23/'Income Statement'!C2</f>
        <v>9.2871171971866534E-2</v>
      </c>
    </row>
    <row r="5" spans="1:6" x14ac:dyDescent="0.25">
      <c r="A5" s="5"/>
      <c r="B5" t="s">
        <v>181</v>
      </c>
      <c r="C5" t="s">
        <v>182</v>
      </c>
      <c r="D5" s="7">
        <f>'Income Statement'!E23/'Balance Sheet'!D42</f>
        <v>-1.8638346240490815E-2</v>
      </c>
      <c r="E5" s="7">
        <f>'Income Statement'!D23/'Balance Sheet'!C41</f>
        <v>0.15071207430340558</v>
      </c>
      <c r="F5" s="7">
        <f>'Income Statement'!C23/'Balance Sheet'!B41</f>
        <v>0.20718257159841941</v>
      </c>
    </row>
    <row r="6" spans="1:6" x14ac:dyDescent="0.25">
      <c r="A6" s="5"/>
      <c r="B6" t="s">
        <v>183</v>
      </c>
      <c r="C6" t="s">
        <v>184</v>
      </c>
      <c r="D6" s="7">
        <f>'Income Statement'!E23/'Balance Sheet'!D2</f>
        <v>-5.8831793375479545E-3</v>
      </c>
      <c r="E6" s="7">
        <f>'Income Statement'!D23/'Balance Sheet'!C2</f>
        <v>5.7639044129626754E-2</v>
      </c>
      <c r="F6" s="7">
        <f>'Income Statement'!C23/'Balance Sheet'!B2</f>
        <v>9.481288026449286E-2</v>
      </c>
    </row>
    <row r="7" spans="1:6" x14ac:dyDescent="0.25">
      <c r="A7" s="3" t="s">
        <v>185</v>
      </c>
      <c r="B7" t="s">
        <v>186</v>
      </c>
      <c r="C7" t="s">
        <v>187</v>
      </c>
      <c r="D7" s="11">
        <f>'Balance Sheet'!D3/'Balance Sheet'!D29</f>
        <v>0.9446435811136924</v>
      </c>
      <c r="E7" s="11">
        <f>'Balance Sheet'!C3/'Balance Sheet'!C29</f>
        <v>1.0450772206625152</v>
      </c>
      <c r="F7" s="11">
        <f>'Balance Sheet'!B3/'Balance Sheet'!B29</f>
        <v>1.0637348061371781</v>
      </c>
    </row>
    <row r="8" spans="1:6" x14ac:dyDescent="0.25">
      <c r="B8" t="s">
        <v>188</v>
      </c>
      <c r="C8" t="s">
        <v>189</v>
      </c>
      <c r="D8" s="11">
        <f>('Balance Sheet'!D3-'Balance Sheet'!D11)/'Balance Sheet'!D29</f>
        <v>0.72323721145740161</v>
      </c>
      <c r="E8" s="11">
        <f>('Balance Sheet'!C3-'Balance Sheet'!C11)/'Balance Sheet'!C29</f>
        <v>0.84304832127676343</v>
      </c>
      <c r="F8" s="11">
        <f>('Balance Sheet'!B3-'Balance Sheet'!B11)/'Balance Sheet'!B29</f>
        <v>0.87305426598525337</v>
      </c>
    </row>
    <row r="9" spans="1:6" x14ac:dyDescent="0.25">
      <c r="A9" s="3" t="s">
        <v>190</v>
      </c>
      <c r="B9" t="s">
        <v>191</v>
      </c>
      <c r="C9" t="s">
        <v>192</v>
      </c>
      <c r="D9" s="11">
        <f>'Balance Sheet'!D28/'Balance Sheet'!D2</f>
        <v>0.68435078618900957</v>
      </c>
      <c r="E9" s="11">
        <f>'Balance Sheet'!C28/'Balance Sheet'!C2</f>
        <v>0.61755523307581262</v>
      </c>
      <c r="F9">
        <f>'Balance Sheet'!B28/'Balance Sheet'!B2</f>
        <v>0.54237038601746856</v>
      </c>
    </row>
    <row r="10" spans="1:6" x14ac:dyDescent="0.25">
      <c r="B10" t="s">
        <v>193</v>
      </c>
      <c r="C10" t="s">
        <v>194</v>
      </c>
      <c r="D10" s="11">
        <f>'Balance Sheet'!D28/'Balance Sheet'!D41</f>
        <v>2.1680737864875415</v>
      </c>
      <c r="E10" s="11">
        <f>'Balance Sheet'!C28/'Balance Sheet'!C41</f>
        <v>1.6147566563467493</v>
      </c>
      <c r="F10">
        <f>'Balance Sheet'!B28/'Balance Sheet'!B41</f>
        <v>1.1851732699234185</v>
      </c>
    </row>
    <row r="11" spans="1:6" x14ac:dyDescent="0.25">
      <c r="B11" t="s">
        <v>195</v>
      </c>
      <c r="C11" t="s">
        <v>196</v>
      </c>
      <c r="F11" s="11">
        <f>'Income Statement'!B23/'Income Statement'!B29</f>
        <v>7.2042387848816674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22"/>
  <sheetViews>
    <sheetView zoomScale="80" zoomScaleNormal="80" workbookViewId="0">
      <selection activeCell="R28" sqref="R28"/>
    </sheetView>
  </sheetViews>
  <sheetFormatPr defaultRowHeight="15" x14ac:dyDescent="0.25"/>
  <cols>
    <col min="1" max="1" width="34" customWidth="1"/>
    <col min="2" max="2" width="15" customWidth="1"/>
    <col min="3" max="3" width="13" customWidth="1"/>
    <col min="5" max="5" width="27.28515625" customWidth="1"/>
    <col min="6" max="6" width="17.140625" customWidth="1"/>
    <col min="7" max="7" width="17" customWidth="1"/>
    <col min="8" max="8" width="20.42578125" customWidth="1"/>
    <col min="9" max="9" width="8.5703125" customWidth="1"/>
    <col min="10" max="10" width="26.85546875" customWidth="1"/>
    <col min="11" max="11" width="23.42578125" customWidth="1"/>
    <col min="13" max="13" width="17.28515625" customWidth="1"/>
    <col min="14" max="15" width="20.140625" customWidth="1"/>
    <col min="16" max="16" width="25.85546875" customWidth="1"/>
    <col min="19" max="19" width="10.140625" customWidth="1"/>
  </cols>
  <sheetData>
    <row r="5" spans="1:16" x14ac:dyDescent="0.25">
      <c r="A5" s="1"/>
    </row>
    <row r="11" spans="1:16" x14ac:dyDescent="0.25">
      <c r="A11" s="1"/>
    </row>
    <row r="16" spans="1:16" x14ac:dyDescent="0.25">
      <c r="A16" t="s">
        <v>197</v>
      </c>
      <c r="B16" s="3" t="s">
        <v>198</v>
      </c>
      <c r="C16" s="3" t="s">
        <v>199</v>
      </c>
      <c r="D16" s="3"/>
      <c r="E16" t="s">
        <v>200</v>
      </c>
      <c r="F16" t="s">
        <v>198</v>
      </c>
      <c r="G16" t="s">
        <v>199</v>
      </c>
      <c r="H16" t="s">
        <v>201</v>
      </c>
      <c r="J16" t="s">
        <v>202</v>
      </c>
      <c r="K16" t="s">
        <v>198</v>
      </c>
      <c r="M16" s="3" t="s">
        <v>207</v>
      </c>
      <c r="N16" t="s">
        <v>198</v>
      </c>
      <c r="O16" t="s">
        <v>199</v>
      </c>
      <c r="P16" t="s">
        <v>201</v>
      </c>
    </row>
    <row r="17" spans="1:16" ht="24" customHeight="1" x14ac:dyDescent="0.25">
      <c r="A17" s="9" t="s">
        <v>203</v>
      </c>
      <c r="B17" s="9" t="s">
        <v>204</v>
      </c>
      <c r="C17" s="9" t="s">
        <v>27</v>
      </c>
      <c r="E17" s="3" t="s">
        <v>203</v>
      </c>
      <c r="F17" s="3" t="s">
        <v>181</v>
      </c>
      <c r="G17" s="3" t="s">
        <v>205</v>
      </c>
      <c r="H17" s="3" t="s">
        <v>179</v>
      </c>
      <c r="I17" s="6"/>
      <c r="J17" s="3" t="s">
        <v>203</v>
      </c>
      <c r="K17" s="3" t="s">
        <v>206</v>
      </c>
      <c r="M17" s="3" t="s">
        <v>203</v>
      </c>
      <c r="N17" s="3" t="s">
        <v>116</v>
      </c>
      <c r="O17" s="3" t="s">
        <v>135</v>
      </c>
      <c r="P17" s="3" t="s">
        <v>145</v>
      </c>
    </row>
    <row r="18" spans="1:16" x14ac:dyDescent="0.25">
      <c r="A18">
        <v>2021</v>
      </c>
      <c r="B18" s="1">
        <v>469822000</v>
      </c>
      <c r="C18" s="1">
        <v>33364000</v>
      </c>
      <c r="E18">
        <v>2022</v>
      </c>
      <c r="F18" s="7">
        <v>-1.8638346240490811E-2</v>
      </c>
      <c r="G18" s="7">
        <v>2.3829581912242229E-2</v>
      </c>
      <c r="H18" s="7">
        <v>-5.2958950004183018E-3</v>
      </c>
      <c r="J18">
        <v>2022</v>
      </c>
      <c r="K18">
        <v>2.168073786487541</v>
      </c>
      <c r="M18">
        <v>2020</v>
      </c>
      <c r="N18">
        <v>46327000</v>
      </c>
      <c r="O18">
        <v>-58154000</v>
      </c>
      <c r="P18">
        <v>6291000</v>
      </c>
    </row>
    <row r="19" spans="1:16" x14ac:dyDescent="0.25">
      <c r="A19">
        <v>2022</v>
      </c>
      <c r="B19" s="1">
        <v>513983000</v>
      </c>
      <c r="C19" s="1">
        <v>-2722000</v>
      </c>
      <c r="E19">
        <v>2023</v>
      </c>
      <c r="F19" s="7">
        <v>0.15071207430340561</v>
      </c>
      <c r="G19" s="7">
        <v>6.4114407996033296E-2</v>
      </c>
      <c r="H19" s="7">
        <v>5.2932835755978319E-2</v>
      </c>
      <c r="I19" s="10"/>
      <c r="J19">
        <v>2023</v>
      </c>
      <c r="K19">
        <v>1.614756656346749</v>
      </c>
      <c r="M19">
        <v>2021</v>
      </c>
      <c r="N19">
        <v>46752000</v>
      </c>
      <c r="O19">
        <v>-37601000</v>
      </c>
      <c r="P19">
        <v>9718000</v>
      </c>
    </row>
    <row r="20" spans="1:16" x14ac:dyDescent="0.25">
      <c r="A20">
        <v>2023</v>
      </c>
      <c r="B20" s="1">
        <v>574785000</v>
      </c>
      <c r="C20" s="1">
        <v>30425000</v>
      </c>
      <c r="E20">
        <v>2024</v>
      </c>
      <c r="F20" s="7">
        <v>0.20718257159841941</v>
      </c>
      <c r="G20" s="7">
        <v>0.1075194487420038</v>
      </c>
      <c r="H20" s="7">
        <v>9.2871171971866534E-2</v>
      </c>
      <c r="J20">
        <v>2024</v>
      </c>
      <c r="K20">
        <v>1.185173269923419</v>
      </c>
      <c r="M20">
        <v>2022</v>
      </c>
      <c r="N20">
        <v>84946000</v>
      </c>
      <c r="O20">
        <v>-49833000</v>
      </c>
      <c r="P20">
        <v>-15879000</v>
      </c>
    </row>
    <row r="21" spans="1:16" x14ac:dyDescent="0.25">
      <c r="A21">
        <v>2024</v>
      </c>
      <c r="B21" s="13">
        <v>637959000</v>
      </c>
      <c r="C21" s="13">
        <v>59248000</v>
      </c>
      <c r="G21" s="7"/>
      <c r="M21">
        <v>2023</v>
      </c>
      <c r="N21">
        <v>115877000</v>
      </c>
      <c r="O21">
        <v>-94342000</v>
      </c>
      <c r="P21">
        <v>-11812000</v>
      </c>
    </row>
    <row r="22" spans="1:16" x14ac:dyDescent="0.25">
      <c r="M22">
        <v>2024</v>
      </c>
      <c r="N22">
        <v>130691000</v>
      </c>
      <c r="O22">
        <v>-132743000</v>
      </c>
      <c r="P22">
        <v>-5938000</v>
      </c>
    </row>
  </sheetData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2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Cash Flow Statement</vt:lpstr>
      <vt:lpstr>Ratios</vt:lpstr>
      <vt:lpstr>Dashboards</vt:lpstr>
      <vt:lpstr>Conclusion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</dc:creator>
  <cp:lastModifiedBy>RAV</cp:lastModifiedBy>
  <dcterms:created xsi:type="dcterms:W3CDTF">2025-12-01T18:27:33Z</dcterms:created>
  <dcterms:modified xsi:type="dcterms:W3CDTF">2025-12-11T14:47:01Z</dcterms:modified>
</cp:coreProperties>
</file>