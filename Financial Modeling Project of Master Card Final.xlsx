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drawings/drawing3.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4.xml" ContentType="application/vnd.openxmlformats-officedocument.drawing+xml"/>
  <Override PartName="/xl/tables/table8.xml" ContentType="application/vnd.openxmlformats-officedocument.spreadsheetml.table+xml"/>
  <Override PartName="/xl/drawings/drawing5.xml" ContentType="application/vnd.openxmlformats-officedocument.drawing+xml"/>
  <Override PartName="/xl/tables/table9.xml" ContentType="application/vnd.openxmlformats-officedocument.spreadsheetml.table+xml"/>
  <Override PartName="/xl/drawings/drawing6.xml" ContentType="application/vnd.openxmlformats-officedocument.drawing+xml"/>
  <Override PartName="/xl/tables/table10.xml" ContentType="application/vnd.openxmlformats-officedocument.spreadsheetml.table+xml"/>
  <Override PartName="/xl/drawings/drawing7.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drawings/drawing8.xml" ContentType="application/vnd.openxmlformats-officedocument.drawing+xml"/>
  <Override PartName="/xl/tables/table25.xml" ContentType="application/vnd.openxmlformats-officedocument.spreadsheetml.table+xml"/>
  <Override PartName="/xl/drawings/drawing9.xml" ContentType="application/vnd.openxmlformats-officedocument.drawing+xml"/>
  <Override PartName="/xl/tables/table26.xml" ContentType="application/vnd.openxmlformats-officedocument.spreadsheetml.table+xml"/>
  <Override PartName="/xl/drawings/drawing10.xml" ContentType="application/vnd.openxmlformats-officedocument.drawing+xml"/>
  <Override PartName="/xl/tables/table27.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drawings/drawing13.xml" ContentType="application/vnd.openxmlformats-officedocument.drawing+xml"/>
  <Override PartName="/xl/tables/table31.xml" ContentType="application/vnd.openxmlformats-officedocument.spreadsheetml.table+xml"/>
  <Override PartName="/xl/tables/table32.xml" ContentType="application/vnd.openxmlformats-officedocument.spreadsheetml.table+xml"/>
  <Override PartName="/xl/drawings/drawing14.xml" ContentType="application/vnd.openxmlformats-officedocument.drawing+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drawings/drawing15.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drawings/drawing16.xml" ContentType="application/vnd.openxmlformats-officedocument.drawing+xml"/>
  <Override PartName="/xl/tables/table51.xml" ContentType="application/vnd.openxmlformats-officedocument.spreadsheetml.table+xml"/>
  <Override PartName="/xl/drawings/drawing17.xml" ContentType="application/vnd.openxmlformats-officedocument.drawing+xml"/>
  <Override PartName="/xl/drawings/drawing18.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a1bc5884fcb0f331/Desktop/Mastercard.Inc Financial Modelling Project/"/>
    </mc:Choice>
  </mc:AlternateContent>
  <xr:revisionPtr revIDLastSave="0" documentId="8_{F701C643-B2D6-439D-9675-1B3BEA1089D3}" xr6:coauthVersionLast="47" xr6:coauthVersionMax="47" xr10:uidLastSave="{00000000-0000-0000-0000-000000000000}"/>
  <bookViews>
    <workbookView xWindow="-110" yWindow="-110" windowWidth="19420" windowHeight="10300" xr2:uid="{76D751B7-4E99-45F6-88BB-1CB7443F0ED4}"/>
  </bookViews>
  <sheets>
    <sheet name="Summary" sheetId="5" r:id="rId1"/>
    <sheet name="Assumptions" sheetId="17" r:id="rId2"/>
    <sheet name="WACC" sheetId="24" r:id="rId3"/>
    <sheet name="CAGR Projections" sheetId="26" r:id="rId4"/>
    <sheet name="Profit Loss" sheetId="1" r:id="rId5"/>
    <sheet name="Balance_Sheet" sheetId="2" r:id="rId6"/>
    <sheet name="Cash Flow" sheetId="3" r:id="rId7"/>
    <sheet name="Common Size" sheetId="6" r:id="rId8"/>
    <sheet name="Ind_P&amp;L" sheetId="7" r:id="rId9"/>
    <sheet name="Ind_bala" sheetId="8" r:id="rId10"/>
    <sheet name="Ind_Cashflow" sheetId="19" r:id="rId11"/>
    <sheet name="Ind dump" sheetId="22" r:id="rId12"/>
    <sheet name="Beta" sheetId="10" r:id="rId13"/>
    <sheet name="Regression" sheetId="11" r:id="rId14"/>
    <sheet name="DCF Valuation" sheetId="23" r:id="rId15"/>
    <sheet name="DDM FCFF Relative Valuation" sheetId="12" r:id="rId16"/>
    <sheet name="Competition" sheetId="13" r:id="rId17"/>
    <sheet name="Credit Ratio" sheetId="15" r:id="rId18"/>
    <sheet name="Ratios" sheetId="21" r:id="rId19"/>
    <sheet name="Project Report" sheetId="25" r:id="rId2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3" i="5" l="1"/>
  <c r="B22" i="5"/>
  <c r="B23" i="5"/>
  <c r="B21" i="5"/>
  <c r="B17" i="5"/>
  <c r="B8" i="5"/>
  <c r="B9" i="5"/>
  <c r="B16" i="5" s="1"/>
  <c r="B30" i="5"/>
  <c r="B38" i="5"/>
  <c r="B37" i="5"/>
  <c r="L21" i="26"/>
  <c r="K21" i="26"/>
  <c r="J21" i="26"/>
  <c r="I21" i="26"/>
  <c r="H21" i="26"/>
  <c r="L18" i="26"/>
  <c r="K18" i="26"/>
  <c r="J18" i="26"/>
  <c r="I18" i="26"/>
  <c r="H18" i="26"/>
  <c r="L19" i="26"/>
  <c r="L20" i="26"/>
  <c r="K19" i="26"/>
  <c r="K20" i="26"/>
  <c r="J19" i="26"/>
  <c r="J20" i="26"/>
  <c r="I19" i="26"/>
  <c r="I20" i="26"/>
  <c r="H19" i="26"/>
  <c r="H20" i="26"/>
  <c r="L12" i="26"/>
  <c r="L11" i="26"/>
  <c r="L13" i="26"/>
  <c r="L14" i="26"/>
  <c r="K11" i="26"/>
  <c r="K12" i="26"/>
  <c r="K13" i="26"/>
  <c r="K14" i="26"/>
  <c r="J11" i="26"/>
  <c r="J12" i="26"/>
  <c r="J13" i="26"/>
  <c r="J14" i="26"/>
  <c r="I11" i="26"/>
  <c r="I12" i="26"/>
  <c r="I13" i="26"/>
  <c r="I14" i="26"/>
  <c r="H11" i="26"/>
  <c r="H12" i="26"/>
  <c r="H13" i="26"/>
  <c r="H14" i="26"/>
  <c r="H4" i="26"/>
  <c r="L4" i="26"/>
  <c r="L5" i="26"/>
  <c r="L6" i="26"/>
  <c r="L7" i="26"/>
  <c r="K4" i="26"/>
  <c r="K5" i="26"/>
  <c r="K6" i="26"/>
  <c r="K7" i="26"/>
  <c r="J4" i="26"/>
  <c r="J5" i="26"/>
  <c r="J6" i="26"/>
  <c r="J7" i="26"/>
  <c r="I4" i="26"/>
  <c r="I5" i="26"/>
  <c r="I6" i="26"/>
  <c r="I7" i="26"/>
  <c r="H5" i="26"/>
  <c r="H6" i="26"/>
  <c r="H7" i="26"/>
  <c r="G18" i="26"/>
  <c r="G19" i="26"/>
  <c r="G20" i="26"/>
  <c r="G21" i="26"/>
  <c r="G11" i="26"/>
  <c r="G12" i="26"/>
  <c r="G13" i="26"/>
  <c r="G14" i="26"/>
  <c r="G7" i="26"/>
  <c r="G6" i="26"/>
  <c r="G5" i="26"/>
  <c r="G4" i="26"/>
  <c r="F21" i="26"/>
  <c r="F20" i="26"/>
  <c r="F19" i="26"/>
  <c r="F18" i="26"/>
  <c r="E21" i="26"/>
  <c r="E20" i="26"/>
  <c r="E19" i="26"/>
  <c r="E18" i="26"/>
  <c r="D21" i="26"/>
  <c r="D20" i="26"/>
  <c r="D19" i="26"/>
  <c r="D18" i="26"/>
  <c r="C21" i="26"/>
  <c r="C20" i="26"/>
  <c r="C19" i="26"/>
  <c r="C18" i="26"/>
  <c r="B21" i="26"/>
  <c r="B20" i="26"/>
  <c r="B19" i="26"/>
  <c r="B18" i="26"/>
  <c r="F14" i="26"/>
  <c r="F13" i="26"/>
  <c r="F12" i="26"/>
  <c r="F11" i="26"/>
  <c r="E14" i="26"/>
  <c r="E13" i="26"/>
  <c r="E12" i="26"/>
  <c r="E11" i="26"/>
  <c r="D14" i="26"/>
  <c r="D13" i="26"/>
  <c r="D12" i="26"/>
  <c r="D11" i="26"/>
  <c r="C14" i="26"/>
  <c r="C13" i="26"/>
  <c r="C12" i="26"/>
  <c r="C11" i="26"/>
  <c r="B14" i="26"/>
  <c r="B13" i="26"/>
  <c r="B12" i="26"/>
  <c r="B11" i="26"/>
  <c r="F7" i="26"/>
  <c r="E7" i="26"/>
  <c r="D7" i="26"/>
  <c r="C7" i="26"/>
  <c r="B7" i="26"/>
  <c r="F6" i="26"/>
  <c r="F5" i="26"/>
  <c r="F4" i="26"/>
  <c r="E6" i="26"/>
  <c r="E5" i="26"/>
  <c r="E4" i="26"/>
  <c r="D6" i="26"/>
  <c r="D5" i="26"/>
  <c r="D4" i="26"/>
  <c r="C6" i="26"/>
  <c r="C5" i="26"/>
  <c r="C4" i="26"/>
  <c r="B6" i="26"/>
  <c r="B5" i="26"/>
  <c r="B4" i="26"/>
  <c r="G15" i="15"/>
  <c r="G14" i="15"/>
  <c r="D3" i="10"/>
  <c r="G8" i="10"/>
  <c r="G4" i="1"/>
  <c r="E3" i="10"/>
  <c r="B10" i="5" l="1"/>
  <c r="B15" i="5" s="1"/>
  <c r="B24" i="5" s="1"/>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5" i="10"/>
  <c r="E96" i="10"/>
  <c r="E97" i="10"/>
  <c r="E98" i="10"/>
  <c r="E99" i="10"/>
  <c r="E100" i="10"/>
  <c r="E101" i="10"/>
  <c r="E102" i="10"/>
  <c r="E103" i="10"/>
  <c r="E104" i="10"/>
  <c r="E105" i="10"/>
  <c r="E106" i="10"/>
  <c r="E107" i="10"/>
  <c r="E108" i="10"/>
  <c r="E109" i="10"/>
  <c r="E110" i="10"/>
  <c r="E111" i="10"/>
  <c r="E112" i="10"/>
  <c r="E113" i="10"/>
  <c r="E114" i="10"/>
  <c r="E115" i="10"/>
  <c r="E116" i="10"/>
  <c r="E117" i="10"/>
  <c r="E118" i="10"/>
  <c r="E119" i="10"/>
  <c r="E120" i="10"/>
  <c r="E121" i="10"/>
  <c r="E122" i="10"/>
  <c r="E123" i="10"/>
  <c r="E124" i="10"/>
  <c r="E125"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163" i="10"/>
  <c r="E164" i="10"/>
  <c r="E165" i="10"/>
  <c r="E166" i="10"/>
  <c r="E167" i="10"/>
  <c r="E168" i="10"/>
  <c r="E169" i="10"/>
  <c r="E170" i="10"/>
  <c r="E171" i="10"/>
  <c r="E172" i="10"/>
  <c r="E173" i="10"/>
  <c r="E174" i="10"/>
  <c r="E175" i="10"/>
  <c r="E176" i="10"/>
  <c r="E177" i="10"/>
  <c r="E178" i="10"/>
  <c r="E179" i="10"/>
  <c r="E180" i="10"/>
  <c r="E181" i="10"/>
  <c r="E182" i="10"/>
  <c r="E183" i="10"/>
  <c r="E184" i="10"/>
  <c r="E185" i="10"/>
  <c r="E186" i="10"/>
  <c r="E187" i="10"/>
  <c r="E188" i="10"/>
  <c r="E189" i="10"/>
  <c r="E190" i="10"/>
  <c r="E191" i="10"/>
  <c r="E192" i="10"/>
  <c r="E193" i="10"/>
  <c r="E194" i="10"/>
  <c r="E195" i="10"/>
  <c r="E196" i="10"/>
  <c r="E197" i="10"/>
  <c r="E198" i="10"/>
  <c r="E199" i="10"/>
  <c r="E200" i="10"/>
  <c r="E201" i="10"/>
  <c r="E202" i="10"/>
  <c r="E203" i="10"/>
  <c r="E204" i="10"/>
  <c r="E205" i="10"/>
  <c r="E206" i="10"/>
  <c r="E207" i="10"/>
  <c r="E208" i="10"/>
  <c r="E209" i="10"/>
  <c r="E210" i="10"/>
  <c r="E211" i="10"/>
  <c r="E212" i="10"/>
  <c r="E213" i="10"/>
  <c r="E214" i="10"/>
  <c r="E215" i="10"/>
  <c r="E216" i="10"/>
  <c r="E217" i="10"/>
  <c r="E218" i="10"/>
  <c r="E219" i="10"/>
  <c r="E220" i="10"/>
  <c r="E221" i="10"/>
  <c r="E222" i="10"/>
  <c r="E223" i="10"/>
  <c r="E224" i="10"/>
  <c r="E225" i="10"/>
  <c r="E226" i="10"/>
  <c r="E227" i="10"/>
  <c r="E228" i="10"/>
  <c r="E229" i="10"/>
  <c r="E230" i="10"/>
  <c r="E231" i="10"/>
  <c r="E232" i="10"/>
  <c r="E233" i="10"/>
  <c r="E234" i="10"/>
  <c r="E235" i="10"/>
  <c r="E236" i="10"/>
  <c r="E237" i="10"/>
  <c r="E238" i="10"/>
  <c r="E239" i="10"/>
  <c r="E240" i="10"/>
  <c r="E241" i="10"/>
  <c r="E242" i="10"/>
  <c r="E243" i="10"/>
  <c r="E244" i="10"/>
  <c r="E245" i="10"/>
  <c r="E246" i="10"/>
  <c r="E247" i="10"/>
  <c r="E248" i="10"/>
  <c r="E249" i="10"/>
  <c r="E250" i="10"/>
  <c r="E251" i="10"/>
  <c r="E252" i="10"/>
  <c r="E253" i="10"/>
  <c r="E254" i="10"/>
  <c r="E255" i="10"/>
  <c r="E256" i="10"/>
  <c r="E257" i="10"/>
  <c r="E258" i="10"/>
  <c r="E259" i="10"/>
  <c r="E260" i="10"/>
  <c r="E261" i="10"/>
  <c r="E262" i="10"/>
  <c r="E263" i="10"/>
  <c r="E264" i="10"/>
  <c r="E265" i="10"/>
  <c r="E266" i="10"/>
  <c r="E267" i="10"/>
  <c r="E268" i="10"/>
  <c r="E269" i="10"/>
  <c r="E270" i="10"/>
  <c r="E271" i="10"/>
  <c r="E272" i="10"/>
  <c r="E273" i="10"/>
  <c r="E274" i="10"/>
  <c r="E275" i="10"/>
  <c r="E276" i="10"/>
  <c r="E277" i="10"/>
  <c r="E278" i="10"/>
  <c r="E279" i="10"/>
  <c r="E280" i="10"/>
  <c r="E281" i="10"/>
  <c r="E282" i="10"/>
  <c r="E283" i="10"/>
  <c r="E284" i="10"/>
  <c r="E285" i="10"/>
  <c r="E286" i="10"/>
  <c r="E287" i="10"/>
  <c r="E288" i="10"/>
  <c r="E289" i="10"/>
  <c r="E290" i="10"/>
  <c r="E291" i="10"/>
  <c r="E292" i="10"/>
  <c r="E293" i="10"/>
  <c r="E294" i="10"/>
  <c r="E295" i="10"/>
  <c r="E296" i="10"/>
  <c r="E297" i="10"/>
  <c r="E298" i="10"/>
  <c r="E299" i="10"/>
  <c r="E300" i="10"/>
  <c r="E301" i="10"/>
  <c r="E302" i="10"/>
  <c r="E303" i="10"/>
  <c r="E304" i="10"/>
  <c r="E305" i="10"/>
  <c r="E306" i="10"/>
  <c r="E307" i="10"/>
  <c r="E308" i="10"/>
  <c r="E309" i="10"/>
  <c r="E310" i="10"/>
  <c r="E311" i="10"/>
  <c r="E312" i="10"/>
  <c r="E313" i="10"/>
  <c r="E314" i="10"/>
  <c r="E315" i="10"/>
  <c r="E316" i="10"/>
  <c r="E317" i="10"/>
  <c r="E318" i="10"/>
  <c r="E319" i="10"/>
  <c r="E320" i="10"/>
  <c r="E321" i="10"/>
  <c r="E322" i="10"/>
  <c r="E323" i="10"/>
  <c r="E324" i="10"/>
  <c r="E325" i="10"/>
  <c r="E326" i="10"/>
  <c r="E327" i="10"/>
  <c r="E328" i="10"/>
  <c r="E329" i="10"/>
  <c r="E330" i="10"/>
  <c r="E331" i="10"/>
  <c r="E332" i="10"/>
  <c r="E333" i="10"/>
  <c r="E334" i="10"/>
  <c r="E335" i="10"/>
  <c r="E336" i="10"/>
  <c r="E337" i="10"/>
  <c r="E338" i="10"/>
  <c r="E339" i="10"/>
  <c r="E340" i="10"/>
  <c r="E341" i="10"/>
  <c r="E342" i="10"/>
  <c r="E343" i="10"/>
  <c r="E344" i="10"/>
  <c r="E345" i="10"/>
  <c r="E346" i="10"/>
  <c r="E347" i="10"/>
  <c r="E348" i="10"/>
  <c r="E349" i="10"/>
  <c r="E350" i="10"/>
  <c r="E351" i="10"/>
  <c r="E352" i="10"/>
  <c r="E353" i="10"/>
  <c r="E354" i="10"/>
  <c r="E355" i="10"/>
  <c r="E356" i="10"/>
  <c r="E357" i="10"/>
  <c r="E358" i="10"/>
  <c r="E359" i="10"/>
  <c r="E360" i="10"/>
  <c r="E361" i="10"/>
  <c r="E362" i="10"/>
  <c r="E363" i="10"/>
  <c r="E364" i="10"/>
  <c r="E365" i="10"/>
  <c r="E366" i="10"/>
  <c r="E367" i="10"/>
  <c r="E368" i="10"/>
  <c r="E369" i="10"/>
  <c r="E370" i="10"/>
  <c r="E371" i="10"/>
  <c r="E372" i="10"/>
  <c r="E373" i="10"/>
  <c r="E374" i="10"/>
  <c r="E375" i="10"/>
  <c r="E376" i="10"/>
  <c r="E377" i="10"/>
  <c r="E378" i="10"/>
  <c r="E379" i="10"/>
  <c r="E380" i="10"/>
  <c r="E381" i="10"/>
  <c r="E382" i="10"/>
  <c r="E383" i="10"/>
  <c r="E384" i="10"/>
  <c r="E385" i="10"/>
  <c r="E386" i="10"/>
  <c r="E387" i="10"/>
  <c r="E388" i="10"/>
  <c r="E389" i="10"/>
  <c r="E390" i="10"/>
  <c r="E391" i="10"/>
  <c r="E392" i="10"/>
  <c r="E393" i="10"/>
  <c r="E394" i="10"/>
  <c r="E395" i="10"/>
  <c r="E396" i="10"/>
  <c r="E397" i="10"/>
  <c r="E398" i="10"/>
  <c r="E399" i="10"/>
  <c r="E400" i="10"/>
  <c r="E401" i="10"/>
  <c r="E402" i="10"/>
  <c r="E403" i="10"/>
  <c r="E404" i="10"/>
  <c r="E405" i="10"/>
  <c r="E406" i="10"/>
  <c r="E407" i="10"/>
  <c r="E408" i="10"/>
  <c r="E409" i="10"/>
  <c r="E410" i="10"/>
  <c r="E411" i="10"/>
  <c r="E412" i="10"/>
  <c r="E413" i="10"/>
  <c r="E414" i="10"/>
  <c r="E415" i="10"/>
  <c r="E416" i="10"/>
  <c r="E417" i="10"/>
  <c r="E418" i="10"/>
  <c r="E419" i="10"/>
  <c r="E420" i="10"/>
  <c r="E421" i="10"/>
  <c r="E422" i="10"/>
  <c r="E423" i="10"/>
  <c r="E424" i="10"/>
  <c r="E425" i="10"/>
  <c r="E426" i="10"/>
  <c r="E427" i="10"/>
  <c r="E428" i="10"/>
  <c r="E429" i="10"/>
  <c r="E430" i="10"/>
  <c r="E431" i="10"/>
  <c r="E432" i="10"/>
  <c r="E433" i="10"/>
  <c r="E434" i="10"/>
  <c r="E435" i="10"/>
  <c r="E436" i="10"/>
  <c r="E437" i="10"/>
  <c r="E438" i="10"/>
  <c r="E439" i="10"/>
  <c r="E440" i="10"/>
  <c r="E441" i="10"/>
  <c r="E442" i="10"/>
  <c r="E443" i="10"/>
  <c r="E444" i="10"/>
  <c r="E445" i="10"/>
  <c r="E446" i="10"/>
  <c r="E447" i="10"/>
  <c r="E448" i="10"/>
  <c r="E449" i="10"/>
  <c r="E450" i="10"/>
  <c r="E451" i="10"/>
  <c r="E452" i="10"/>
  <c r="E453" i="10"/>
  <c r="E454" i="10"/>
  <c r="E455" i="10"/>
  <c r="E456" i="10"/>
  <c r="E457" i="10"/>
  <c r="E458" i="10"/>
  <c r="E459" i="10"/>
  <c r="E460" i="10"/>
  <c r="E461" i="10"/>
  <c r="E462" i="10"/>
  <c r="E463" i="10"/>
  <c r="E464" i="10"/>
  <c r="E465" i="10"/>
  <c r="E466" i="10"/>
  <c r="E467" i="10"/>
  <c r="E468" i="10"/>
  <c r="E469" i="10"/>
  <c r="E470" i="10"/>
  <c r="E471" i="10"/>
  <c r="E472" i="10"/>
  <c r="E473" i="10"/>
  <c r="E474" i="10"/>
  <c r="E475" i="10"/>
  <c r="E476" i="10"/>
  <c r="E477" i="10"/>
  <c r="E478" i="10"/>
  <c r="E479" i="10"/>
  <c r="E480" i="10"/>
  <c r="E481" i="10"/>
  <c r="E482" i="10"/>
  <c r="E483" i="10"/>
  <c r="E484" i="10"/>
  <c r="E485" i="10"/>
  <c r="E486" i="10"/>
  <c r="E487" i="10"/>
  <c r="E488" i="10"/>
  <c r="E489" i="10"/>
  <c r="E490" i="10"/>
  <c r="E491" i="10"/>
  <c r="E492" i="10"/>
  <c r="E493" i="10"/>
  <c r="E494" i="10"/>
  <c r="E495" i="10"/>
  <c r="E496" i="10"/>
  <c r="E497" i="10"/>
  <c r="E498" i="10"/>
  <c r="E499" i="10"/>
  <c r="E500" i="10"/>
  <c r="E501" i="10"/>
  <c r="E502" i="10"/>
  <c r="E503" i="10"/>
  <c r="E504" i="10"/>
  <c r="E505" i="10"/>
  <c r="E506" i="10"/>
  <c r="E507" i="10"/>
  <c r="E508" i="10"/>
  <c r="E509" i="10"/>
  <c r="E510" i="10"/>
  <c r="E511" i="10"/>
  <c r="E512" i="10"/>
  <c r="E513" i="10"/>
  <c r="E514" i="10"/>
  <c r="E515" i="10"/>
  <c r="E516" i="10"/>
  <c r="E517" i="10"/>
  <c r="E518" i="10"/>
  <c r="E519" i="10"/>
  <c r="E520" i="10"/>
  <c r="E521" i="10"/>
  <c r="E522" i="10"/>
  <c r="E523" i="10"/>
  <c r="D4" i="10"/>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6" i="10"/>
  <c r="D67" i="10"/>
  <c r="D68" i="10"/>
  <c r="D69" i="10"/>
  <c r="D70" i="10"/>
  <c r="D71" i="10"/>
  <c r="D72" i="10"/>
  <c r="D73" i="10"/>
  <c r="D74" i="10"/>
  <c r="D75" i="10"/>
  <c r="D76" i="10"/>
  <c r="D77" i="10"/>
  <c r="D78" i="10"/>
  <c r="D79" i="10"/>
  <c r="D80" i="10"/>
  <c r="D81" i="10"/>
  <c r="D82" i="10"/>
  <c r="D83" i="10"/>
  <c r="D84" i="10"/>
  <c r="D85" i="10"/>
  <c r="D86" i="10"/>
  <c r="D87" i="10"/>
  <c r="D88" i="10"/>
  <c r="D89" i="10"/>
  <c r="D90" i="10"/>
  <c r="D91" i="10"/>
  <c r="D92" i="10"/>
  <c r="D93" i="10"/>
  <c r="D94" i="10"/>
  <c r="D95" i="10"/>
  <c r="D96" i="10"/>
  <c r="D97" i="10"/>
  <c r="D98" i="10"/>
  <c r="D99" i="10"/>
  <c r="D100" i="10"/>
  <c r="D101" i="10"/>
  <c r="D102" i="10"/>
  <c r="D103" i="10"/>
  <c r="D104" i="10"/>
  <c r="D105" i="10"/>
  <c r="D106" i="10"/>
  <c r="D107" i="10"/>
  <c r="D108" i="10"/>
  <c r="D109" i="10"/>
  <c r="D110" i="10"/>
  <c r="D111" i="10"/>
  <c r="D112" i="10"/>
  <c r="D113" i="10"/>
  <c r="D114" i="10"/>
  <c r="D115" i="10"/>
  <c r="D116" i="10"/>
  <c r="D117" i="10"/>
  <c r="D118" i="10"/>
  <c r="D119" i="10"/>
  <c r="D120" i="10"/>
  <c r="D121" i="10"/>
  <c r="D122" i="10"/>
  <c r="D123" i="10"/>
  <c r="D124" i="10"/>
  <c r="D125" i="10"/>
  <c r="D126" i="10"/>
  <c r="D127" i="10"/>
  <c r="D128" i="10"/>
  <c r="D129" i="10"/>
  <c r="D130" i="10"/>
  <c r="D131" i="10"/>
  <c r="D132" i="10"/>
  <c r="D133" i="10"/>
  <c r="D134" i="10"/>
  <c r="D135" i="10"/>
  <c r="D136" i="10"/>
  <c r="D137" i="10"/>
  <c r="D138" i="10"/>
  <c r="D139" i="10"/>
  <c r="D140" i="10"/>
  <c r="D141" i="10"/>
  <c r="D142" i="10"/>
  <c r="D143" i="10"/>
  <c r="D144" i="10"/>
  <c r="D145" i="10"/>
  <c r="D146" i="10"/>
  <c r="D147" i="10"/>
  <c r="D148" i="10"/>
  <c r="D149" i="10"/>
  <c r="D150" i="10"/>
  <c r="D151" i="10"/>
  <c r="D152" i="10"/>
  <c r="D153" i="10"/>
  <c r="D154" i="10"/>
  <c r="D155" i="10"/>
  <c r="D156" i="10"/>
  <c r="D157" i="10"/>
  <c r="D158" i="10"/>
  <c r="D159" i="10"/>
  <c r="D160" i="10"/>
  <c r="D161" i="10"/>
  <c r="D162" i="10"/>
  <c r="D163" i="10"/>
  <c r="D164" i="10"/>
  <c r="D165" i="10"/>
  <c r="D166" i="10"/>
  <c r="D167" i="10"/>
  <c r="D168" i="10"/>
  <c r="D169" i="10"/>
  <c r="D170" i="10"/>
  <c r="D171" i="10"/>
  <c r="D172" i="10"/>
  <c r="D173" i="10"/>
  <c r="D174" i="10"/>
  <c r="D175" i="10"/>
  <c r="D176" i="10"/>
  <c r="D177" i="10"/>
  <c r="D178" i="10"/>
  <c r="D179" i="10"/>
  <c r="D180" i="10"/>
  <c r="D181" i="10"/>
  <c r="D182" i="10"/>
  <c r="D183" i="10"/>
  <c r="D184" i="10"/>
  <c r="D185" i="10"/>
  <c r="D186" i="10"/>
  <c r="D187" i="10"/>
  <c r="D188" i="10"/>
  <c r="D189" i="10"/>
  <c r="D190" i="10"/>
  <c r="D191" i="10"/>
  <c r="D192" i="10"/>
  <c r="D193" i="10"/>
  <c r="D194" i="10"/>
  <c r="D195" i="10"/>
  <c r="D196" i="10"/>
  <c r="D197" i="10"/>
  <c r="D198" i="10"/>
  <c r="D199" i="10"/>
  <c r="D200" i="10"/>
  <c r="D201" i="10"/>
  <c r="D202" i="10"/>
  <c r="D203" i="10"/>
  <c r="D204" i="10"/>
  <c r="D205" i="10"/>
  <c r="D206" i="10"/>
  <c r="D207" i="10"/>
  <c r="D208" i="10"/>
  <c r="D209" i="10"/>
  <c r="D210" i="10"/>
  <c r="D211" i="10"/>
  <c r="D212" i="10"/>
  <c r="D213" i="10"/>
  <c r="D214" i="10"/>
  <c r="D215" i="10"/>
  <c r="D216" i="10"/>
  <c r="D217" i="10"/>
  <c r="D218" i="10"/>
  <c r="D219" i="10"/>
  <c r="D220" i="10"/>
  <c r="D221" i="10"/>
  <c r="D222" i="10"/>
  <c r="D223" i="10"/>
  <c r="D224" i="10"/>
  <c r="D225" i="10"/>
  <c r="D226" i="10"/>
  <c r="D227" i="10"/>
  <c r="D228" i="10"/>
  <c r="D229" i="10"/>
  <c r="D230" i="10"/>
  <c r="D231" i="10"/>
  <c r="D232" i="10"/>
  <c r="D233" i="10"/>
  <c r="D234" i="10"/>
  <c r="D235" i="10"/>
  <c r="D236" i="10"/>
  <c r="D237" i="10"/>
  <c r="D238" i="10"/>
  <c r="D239" i="10"/>
  <c r="D240" i="10"/>
  <c r="D241" i="10"/>
  <c r="D242" i="10"/>
  <c r="D243" i="10"/>
  <c r="D244" i="10"/>
  <c r="D245" i="10"/>
  <c r="D246" i="10"/>
  <c r="D247" i="10"/>
  <c r="D248" i="10"/>
  <c r="D249" i="10"/>
  <c r="D250" i="10"/>
  <c r="D251" i="10"/>
  <c r="D252" i="10"/>
  <c r="D253" i="10"/>
  <c r="D254" i="10"/>
  <c r="D255" i="10"/>
  <c r="D256" i="10"/>
  <c r="D257" i="10"/>
  <c r="D258" i="10"/>
  <c r="D259" i="10"/>
  <c r="D260" i="10"/>
  <c r="D261" i="10"/>
  <c r="D262" i="10"/>
  <c r="D263" i="10"/>
  <c r="D264" i="10"/>
  <c r="D265" i="10"/>
  <c r="D266" i="10"/>
  <c r="D267" i="10"/>
  <c r="D268" i="10"/>
  <c r="D269" i="10"/>
  <c r="D270" i="10"/>
  <c r="D271" i="10"/>
  <c r="D272" i="10"/>
  <c r="D273" i="10"/>
  <c r="D274" i="10"/>
  <c r="D275" i="10"/>
  <c r="D276" i="10"/>
  <c r="D277" i="10"/>
  <c r="D278" i="10"/>
  <c r="D279" i="10"/>
  <c r="D280" i="10"/>
  <c r="D281" i="10"/>
  <c r="D282" i="10"/>
  <c r="D283" i="10"/>
  <c r="D284" i="10"/>
  <c r="D285" i="10"/>
  <c r="D286" i="10"/>
  <c r="D287" i="10"/>
  <c r="D288" i="10"/>
  <c r="D289" i="10"/>
  <c r="D290" i="10"/>
  <c r="D291" i="10"/>
  <c r="D292" i="10"/>
  <c r="D293" i="10"/>
  <c r="D294" i="10"/>
  <c r="D295" i="10"/>
  <c r="D296" i="10"/>
  <c r="D297" i="10"/>
  <c r="D298" i="10"/>
  <c r="D299" i="10"/>
  <c r="D300" i="10"/>
  <c r="D301" i="10"/>
  <c r="D302" i="10"/>
  <c r="D303" i="10"/>
  <c r="D304" i="10"/>
  <c r="D305" i="10"/>
  <c r="D306" i="10"/>
  <c r="D307" i="10"/>
  <c r="D308" i="10"/>
  <c r="D309" i="10"/>
  <c r="D310" i="10"/>
  <c r="D311" i="10"/>
  <c r="D312" i="10"/>
  <c r="D313" i="10"/>
  <c r="D314" i="10"/>
  <c r="D315" i="10"/>
  <c r="D316" i="10"/>
  <c r="D317" i="10"/>
  <c r="D318" i="10"/>
  <c r="D319" i="10"/>
  <c r="D320" i="10"/>
  <c r="D321" i="10"/>
  <c r="D322" i="10"/>
  <c r="D323" i="10"/>
  <c r="D324" i="10"/>
  <c r="D325" i="10"/>
  <c r="D326" i="10"/>
  <c r="D327" i="10"/>
  <c r="D328" i="10"/>
  <c r="D329" i="10"/>
  <c r="D330" i="10"/>
  <c r="D331" i="10"/>
  <c r="D332" i="10"/>
  <c r="D333" i="10"/>
  <c r="D334" i="10"/>
  <c r="D335" i="10"/>
  <c r="D336" i="10"/>
  <c r="D337" i="10"/>
  <c r="D338" i="10"/>
  <c r="D339" i="10"/>
  <c r="D340" i="10"/>
  <c r="D341" i="10"/>
  <c r="D342" i="10"/>
  <c r="D343" i="10"/>
  <c r="D344" i="10"/>
  <c r="D345" i="10"/>
  <c r="D346" i="10"/>
  <c r="D347" i="10"/>
  <c r="D348" i="10"/>
  <c r="D349" i="10"/>
  <c r="D350" i="10"/>
  <c r="D351" i="10"/>
  <c r="D352" i="10"/>
  <c r="D353" i="10"/>
  <c r="D354" i="10"/>
  <c r="D355" i="10"/>
  <c r="D356" i="10"/>
  <c r="D357" i="10"/>
  <c r="D358" i="10"/>
  <c r="D359" i="10"/>
  <c r="D360" i="10"/>
  <c r="D361" i="10"/>
  <c r="D362" i="10"/>
  <c r="D363" i="10"/>
  <c r="D364" i="10"/>
  <c r="D365" i="10"/>
  <c r="D366" i="10"/>
  <c r="D367" i="10"/>
  <c r="D368" i="10"/>
  <c r="D369" i="10"/>
  <c r="D370" i="10"/>
  <c r="D371" i="10"/>
  <c r="D372" i="10"/>
  <c r="D373" i="10"/>
  <c r="D374" i="10"/>
  <c r="D375" i="10"/>
  <c r="D376" i="10"/>
  <c r="D377" i="10"/>
  <c r="D378" i="10"/>
  <c r="D379" i="10"/>
  <c r="D380" i="10"/>
  <c r="D381" i="10"/>
  <c r="D382" i="10"/>
  <c r="D383" i="10"/>
  <c r="D384" i="10"/>
  <c r="D385" i="10"/>
  <c r="D386" i="10"/>
  <c r="D387" i="10"/>
  <c r="D388" i="10"/>
  <c r="D389" i="10"/>
  <c r="D390" i="10"/>
  <c r="D391" i="10"/>
  <c r="D392" i="10"/>
  <c r="D393" i="10"/>
  <c r="D394" i="10"/>
  <c r="D395" i="10"/>
  <c r="D396" i="10"/>
  <c r="D397" i="10"/>
  <c r="D398" i="10"/>
  <c r="D399" i="10"/>
  <c r="D400" i="10"/>
  <c r="D401" i="10"/>
  <c r="D402" i="10"/>
  <c r="D403" i="10"/>
  <c r="D404" i="10"/>
  <c r="D405" i="10"/>
  <c r="D406" i="10"/>
  <c r="D407" i="10"/>
  <c r="D408" i="10"/>
  <c r="D409" i="10"/>
  <c r="D410" i="10"/>
  <c r="D411" i="10"/>
  <c r="D412" i="10"/>
  <c r="D413" i="10"/>
  <c r="D414" i="10"/>
  <c r="D415" i="10"/>
  <c r="D416" i="10"/>
  <c r="D417" i="10"/>
  <c r="D418" i="10"/>
  <c r="D419" i="10"/>
  <c r="D420" i="10"/>
  <c r="D421" i="10"/>
  <c r="D422" i="10"/>
  <c r="D423" i="10"/>
  <c r="D424" i="10"/>
  <c r="D425" i="10"/>
  <c r="D426" i="10"/>
  <c r="D427" i="10"/>
  <c r="D428" i="10"/>
  <c r="D429" i="10"/>
  <c r="D430" i="10"/>
  <c r="D431" i="10"/>
  <c r="D432" i="10"/>
  <c r="D433" i="10"/>
  <c r="D434" i="10"/>
  <c r="D435" i="10"/>
  <c r="D436" i="10"/>
  <c r="D437" i="10"/>
  <c r="D438" i="10"/>
  <c r="D439" i="10"/>
  <c r="D440" i="10"/>
  <c r="D441" i="10"/>
  <c r="D442" i="10"/>
  <c r="D443" i="10"/>
  <c r="D444" i="10"/>
  <c r="D445" i="10"/>
  <c r="D446" i="10"/>
  <c r="D447" i="10"/>
  <c r="D448" i="10"/>
  <c r="D449" i="10"/>
  <c r="D450" i="10"/>
  <c r="D451" i="10"/>
  <c r="D452" i="10"/>
  <c r="D453" i="10"/>
  <c r="D454" i="10"/>
  <c r="D455" i="10"/>
  <c r="D456" i="10"/>
  <c r="D457" i="10"/>
  <c r="D458" i="10"/>
  <c r="D459" i="10"/>
  <c r="D460" i="10"/>
  <c r="D461" i="10"/>
  <c r="D462" i="10"/>
  <c r="D463" i="10"/>
  <c r="D464" i="10"/>
  <c r="D465" i="10"/>
  <c r="D466" i="10"/>
  <c r="D467" i="10"/>
  <c r="D468" i="10"/>
  <c r="D469" i="10"/>
  <c r="D470" i="10"/>
  <c r="D471" i="10"/>
  <c r="D472" i="10"/>
  <c r="D473" i="10"/>
  <c r="D474" i="10"/>
  <c r="D475" i="10"/>
  <c r="D476" i="10"/>
  <c r="D477" i="10"/>
  <c r="D478" i="10"/>
  <c r="D479" i="10"/>
  <c r="D480" i="10"/>
  <c r="D481" i="10"/>
  <c r="D482" i="10"/>
  <c r="D483" i="10"/>
  <c r="D484" i="10"/>
  <c r="D485" i="10"/>
  <c r="D486" i="10"/>
  <c r="D487" i="10"/>
  <c r="D488" i="10"/>
  <c r="D489" i="10"/>
  <c r="D490" i="10"/>
  <c r="D491" i="10"/>
  <c r="D492" i="10"/>
  <c r="D493" i="10"/>
  <c r="D494" i="10"/>
  <c r="D495" i="10"/>
  <c r="D496" i="10"/>
  <c r="D497" i="10"/>
  <c r="D498" i="10"/>
  <c r="D499" i="10"/>
  <c r="D500" i="10"/>
  <c r="D501" i="10"/>
  <c r="D502" i="10"/>
  <c r="D503" i="10"/>
  <c r="D504" i="10"/>
  <c r="D505" i="10"/>
  <c r="D506" i="10"/>
  <c r="D507" i="10"/>
  <c r="D508" i="10"/>
  <c r="D509" i="10"/>
  <c r="D510" i="10"/>
  <c r="D511" i="10"/>
  <c r="D512" i="10"/>
  <c r="D513" i="10"/>
  <c r="D514" i="10"/>
  <c r="D515" i="10"/>
  <c r="D516" i="10"/>
  <c r="D517" i="10"/>
  <c r="D518" i="10"/>
  <c r="D519" i="10"/>
  <c r="D520" i="10"/>
  <c r="D521" i="10"/>
  <c r="D522" i="10"/>
  <c r="D523" i="10"/>
  <c r="E76" i="12" l="1"/>
  <c r="G76" i="12" s="1"/>
  <c r="H76" i="12" s="1"/>
  <c r="G89" i="12" s="1"/>
  <c r="B60" i="12"/>
  <c r="B84" i="12"/>
  <c r="B82" i="12"/>
  <c r="B81" i="12"/>
  <c r="B80" i="12"/>
  <c r="B79" i="12"/>
  <c r="B77" i="12"/>
  <c r="B75" i="12"/>
  <c r="B27" i="24"/>
  <c r="B12" i="23"/>
  <c r="B11" i="23"/>
  <c r="B10" i="23"/>
  <c r="B23" i="24"/>
  <c r="B24" i="24"/>
  <c r="B4" i="24"/>
  <c r="E8" i="13"/>
  <c r="C8" i="13"/>
  <c r="F93" i="12"/>
  <c r="F92" i="12"/>
  <c r="F91" i="12"/>
  <c r="F90" i="12"/>
  <c r="F89" i="12"/>
  <c r="E93" i="12"/>
  <c r="E92" i="12"/>
  <c r="E91" i="12"/>
  <c r="E90" i="12"/>
  <c r="E89" i="12"/>
  <c r="E75" i="12"/>
  <c r="G75" i="12" s="1"/>
  <c r="B20" i="24" l="1"/>
  <c r="B19" i="24"/>
  <c r="B18" i="24"/>
  <c r="B13" i="24"/>
  <c r="B12" i="24"/>
  <c r="B17" i="24"/>
  <c r="B5" i="24"/>
  <c r="G21" i="23"/>
  <c r="G20" i="23"/>
  <c r="F21" i="23"/>
  <c r="E21" i="23"/>
  <c r="D21" i="23"/>
  <c r="C21" i="23"/>
  <c r="B21" i="23"/>
  <c r="F20" i="23"/>
  <c r="E20" i="23"/>
  <c r="D20" i="23"/>
  <c r="C20" i="23"/>
  <c r="B20" i="23"/>
  <c r="B17" i="23"/>
  <c r="B22" i="23" s="1"/>
  <c r="C80" i="21" l="1"/>
  <c r="C79" i="21"/>
  <c r="M73" i="21"/>
  <c r="L73" i="21"/>
  <c r="K73" i="21"/>
  <c r="J73" i="21"/>
  <c r="I73" i="21"/>
  <c r="M72" i="21"/>
  <c r="L72" i="21"/>
  <c r="K72" i="21"/>
  <c r="J72" i="21"/>
  <c r="I72" i="21"/>
  <c r="M71" i="21"/>
  <c r="L71" i="21"/>
  <c r="K71" i="21"/>
  <c r="J71" i="21"/>
  <c r="I71" i="21"/>
  <c r="M70" i="21"/>
  <c r="L70" i="21"/>
  <c r="K70" i="21"/>
  <c r="J70" i="21"/>
  <c r="I70" i="21"/>
  <c r="M67" i="21"/>
  <c r="L67" i="21"/>
  <c r="K67" i="21"/>
  <c r="J67" i="21"/>
  <c r="I67" i="21"/>
  <c r="M66" i="21"/>
  <c r="L66" i="21"/>
  <c r="K66" i="21"/>
  <c r="J66" i="21"/>
  <c r="I66" i="21"/>
  <c r="M65" i="21"/>
  <c r="L65" i="21"/>
  <c r="K65" i="21"/>
  <c r="J65" i="21"/>
  <c r="I65" i="21"/>
  <c r="M64" i="21"/>
  <c r="L64" i="21"/>
  <c r="K64" i="21"/>
  <c r="J64" i="21"/>
  <c r="I64" i="21"/>
  <c r="M62" i="21"/>
  <c r="L62" i="21"/>
  <c r="K62" i="21"/>
  <c r="J62" i="21"/>
  <c r="I62" i="21"/>
  <c r="M61" i="21"/>
  <c r="L61" i="21"/>
  <c r="K61" i="21"/>
  <c r="J61" i="21"/>
  <c r="I61" i="21"/>
  <c r="M60" i="21"/>
  <c r="L60" i="21"/>
  <c r="K60" i="21"/>
  <c r="J60" i="21"/>
  <c r="I60" i="21"/>
  <c r="M59" i="21"/>
  <c r="L59" i="21"/>
  <c r="K59" i="21"/>
  <c r="J59" i="21"/>
  <c r="I59" i="21"/>
  <c r="M58" i="21"/>
  <c r="L58" i="21"/>
  <c r="K58" i="21"/>
  <c r="J58" i="21"/>
  <c r="I58" i="21"/>
  <c r="M57" i="21"/>
  <c r="L57" i="21"/>
  <c r="K57" i="21"/>
  <c r="J57" i="21"/>
  <c r="I57" i="21"/>
  <c r="M56" i="21"/>
  <c r="L56" i="21"/>
  <c r="K56" i="21"/>
  <c r="J56" i="21"/>
  <c r="I56" i="21"/>
  <c r="M54" i="21"/>
  <c r="L54" i="21"/>
  <c r="K54" i="21"/>
  <c r="J54" i="21"/>
  <c r="I54" i="21"/>
  <c r="L51" i="21"/>
  <c r="L53" i="21" s="1"/>
  <c r="K51" i="21"/>
  <c r="M51" i="21"/>
  <c r="M53" i="21" s="1"/>
  <c r="K53" i="21"/>
  <c r="J53" i="21"/>
  <c r="I53" i="21"/>
  <c r="M52" i="21"/>
  <c r="L52" i="21"/>
  <c r="K52" i="21"/>
  <c r="J52" i="21"/>
  <c r="I52" i="21"/>
  <c r="J51" i="21"/>
  <c r="I51" i="21"/>
  <c r="M47" i="21"/>
  <c r="L47" i="21"/>
  <c r="K47" i="21"/>
  <c r="J47" i="21"/>
  <c r="I47" i="21"/>
  <c r="M46" i="21"/>
  <c r="L46" i="21"/>
  <c r="K46" i="21"/>
  <c r="J46" i="21"/>
  <c r="I46" i="21"/>
  <c r="M44" i="21"/>
  <c r="L44" i="21"/>
  <c r="K44" i="21"/>
  <c r="J44" i="21"/>
  <c r="I44" i="21"/>
  <c r="M43" i="21"/>
  <c r="L43" i="21"/>
  <c r="K43" i="21"/>
  <c r="J43" i="21"/>
  <c r="I43" i="21"/>
  <c r="M42" i="21"/>
  <c r="L42" i="21"/>
  <c r="K42" i="21"/>
  <c r="J42" i="21"/>
  <c r="I42" i="21"/>
  <c r="M41" i="21"/>
  <c r="L41" i="21"/>
  <c r="K41" i="21"/>
  <c r="J41" i="21"/>
  <c r="I41" i="21"/>
  <c r="M37" i="21"/>
  <c r="L37" i="21"/>
  <c r="K37" i="21"/>
  <c r="J37" i="21"/>
  <c r="I37" i="21"/>
  <c r="M36" i="21"/>
  <c r="L36" i="21"/>
  <c r="K36" i="21"/>
  <c r="J36" i="21"/>
  <c r="I36" i="21"/>
  <c r="M35" i="21"/>
  <c r="L35" i="21"/>
  <c r="K35" i="21"/>
  <c r="J35" i="21"/>
  <c r="I35" i="21"/>
  <c r="M34" i="21"/>
  <c r="L34" i="21"/>
  <c r="K34" i="21"/>
  <c r="J34" i="21"/>
  <c r="I34" i="21"/>
  <c r="M33" i="21"/>
  <c r="L33" i="21"/>
  <c r="K33" i="21"/>
  <c r="J33" i="21"/>
  <c r="I33" i="21"/>
  <c r="I31" i="21"/>
  <c r="M30" i="21"/>
  <c r="L30" i="21"/>
  <c r="K30" i="21"/>
  <c r="J30" i="21"/>
  <c r="I30" i="21"/>
  <c r="M29" i="21"/>
  <c r="L29" i="21"/>
  <c r="K29" i="21"/>
  <c r="J29" i="21"/>
  <c r="I29" i="21"/>
  <c r="M28" i="21"/>
  <c r="L28" i="21"/>
  <c r="K28" i="21"/>
  <c r="J28" i="21"/>
  <c r="I28" i="21"/>
  <c r="M26" i="21"/>
  <c r="L26" i="21"/>
  <c r="K26" i="21"/>
  <c r="J26" i="21"/>
  <c r="I26" i="21"/>
  <c r="M25" i="21"/>
  <c r="L25" i="21"/>
  <c r="K25" i="21"/>
  <c r="J25" i="21"/>
  <c r="I25" i="21"/>
  <c r="M24" i="21"/>
  <c r="L24" i="21"/>
  <c r="K24" i="21"/>
  <c r="J24" i="21"/>
  <c r="I24" i="21"/>
  <c r="M22" i="21"/>
  <c r="L22" i="21"/>
  <c r="K22" i="21"/>
  <c r="J22" i="21"/>
  <c r="M21" i="21"/>
  <c r="L21" i="21"/>
  <c r="K21" i="21"/>
  <c r="J21" i="21"/>
  <c r="M20" i="21"/>
  <c r="L20" i="21"/>
  <c r="K20" i="21"/>
  <c r="J20" i="21"/>
  <c r="M19" i="21"/>
  <c r="L19" i="21"/>
  <c r="K19" i="21"/>
  <c r="J19" i="21"/>
  <c r="M17" i="21"/>
  <c r="L17" i="21"/>
  <c r="K17" i="21"/>
  <c r="J17" i="21"/>
  <c r="I17" i="21"/>
  <c r="M16" i="21"/>
  <c r="L16" i="21"/>
  <c r="K16" i="21"/>
  <c r="J16" i="21"/>
  <c r="I16" i="21"/>
  <c r="M15" i="21"/>
  <c r="L15" i="21"/>
  <c r="K15" i="21"/>
  <c r="J15" i="21"/>
  <c r="I15" i="21"/>
  <c r="M14" i="21"/>
  <c r="L14" i="21"/>
  <c r="K14" i="21"/>
  <c r="J14" i="21"/>
  <c r="I14" i="21"/>
  <c r="M13" i="21"/>
  <c r="L13" i="21"/>
  <c r="K13" i="21"/>
  <c r="J13" i="21"/>
  <c r="M8" i="21"/>
  <c r="L8" i="21"/>
  <c r="K8" i="21"/>
  <c r="J8" i="21"/>
  <c r="I13" i="21"/>
  <c r="I8" i="21"/>
  <c r="F88" i="6" l="1"/>
  <c r="E88" i="6"/>
  <c r="D88" i="6"/>
  <c r="C88" i="6"/>
  <c r="B88" i="6"/>
  <c r="G53" i="3"/>
  <c r="H4" i="1"/>
  <c r="I4" i="1" s="1"/>
  <c r="K6" i="1"/>
  <c r="J6" i="1"/>
  <c r="I6" i="1"/>
  <c r="H6" i="1"/>
  <c r="K8" i="1"/>
  <c r="J8" i="1"/>
  <c r="I8" i="1"/>
  <c r="H8" i="1"/>
  <c r="K9" i="1"/>
  <c r="J9" i="1"/>
  <c r="I9" i="1"/>
  <c r="H9" i="1"/>
  <c r="G9" i="1"/>
  <c r="G7" i="1"/>
  <c r="G20" i="2"/>
  <c r="G10" i="1"/>
  <c r="G6" i="1"/>
  <c r="G8" i="1"/>
  <c r="G47" i="3"/>
  <c r="G24" i="1"/>
  <c r="G22" i="1"/>
  <c r="K36" i="2"/>
  <c r="J36" i="2"/>
  <c r="I36" i="2"/>
  <c r="H36" i="2"/>
  <c r="G36" i="2"/>
  <c r="G30" i="2"/>
  <c r="H30" i="2" s="1"/>
  <c r="F16" i="2"/>
  <c r="E16" i="2"/>
  <c r="D16" i="2"/>
  <c r="C16" i="2"/>
  <c r="B16" i="2"/>
  <c r="G17" i="2"/>
  <c r="H17" i="2" l="1"/>
  <c r="E77" i="12"/>
  <c r="G77" i="12" s="1"/>
  <c r="H77" i="12" s="1"/>
  <c r="G90" i="12" s="1"/>
  <c r="C17" i="23"/>
  <c r="E78" i="12"/>
  <c r="G78" i="12" s="1"/>
  <c r="D17" i="23"/>
  <c r="D22" i="23" s="1"/>
  <c r="J4" i="1"/>
  <c r="I30" i="2"/>
  <c r="H10" i="2"/>
  <c r="H10" i="1"/>
  <c r="H11" i="1" s="1"/>
  <c r="C18" i="23" s="1"/>
  <c r="C19" i="23" s="1"/>
  <c r="H20" i="2"/>
  <c r="H19" i="3" s="1"/>
  <c r="H7" i="1"/>
  <c r="C22" i="23" l="1"/>
  <c r="E79" i="12"/>
  <c r="G79" i="12" s="1"/>
  <c r="H79" i="12" s="1"/>
  <c r="G92" i="12" s="1"/>
  <c r="E17" i="23"/>
  <c r="E22" i="23" s="1"/>
  <c r="K4" i="1"/>
  <c r="H78" i="12"/>
  <c r="G91" i="12" s="1"/>
  <c r="J30" i="2"/>
  <c r="E80" i="12" l="1"/>
  <c r="G80" i="12" s="1"/>
  <c r="H80" i="12" s="1"/>
  <c r="G93" i="12" s="1"/>
  <c r="F17" i="23"/>
  <c r="F22" i="23" s="1"/>
  <c r="G22" i="23" s="1"/>
  <c r="K30" i="2"/>
  <c r="G17" i="23" l="1"/>
  <c r="F55" i="3"/>
  <c r="E55" i="3"/>
  <c r="D55" i="3"/>
  <c r="C55" i="3"/>
  <c r="B55" i="3"/>
  <c r="G19" i="3"/>
  <c r="G24" i="2"/>
  <c r="G8" i="2"/>
  <c r="G10" i="2"/>
  <c r="G7" i="2"/>
  <c r="J17" i="2" l="1"/>
  <c r="J20" i="2"/>
  <c r="J7" i="1"/>
  <c r="J10" i="2"/>
  <c r="J10" i="1"/>
  <c r="I20" i="2"/>
  <c r="I19" i="3" s="1"/>
  <c r="I10" i="1"/>
  <c r="I17" i="2"/>
  <c r="I7" i="1"/>
  <c r="I10" i="2"/>
  <c r="H16" i="1"/>
  <c r="I16" i="1" s="1"/>
  <c r="J16" i="1" s="1"/>
  <c r="K16" i="1" s="1"/>
  <c r="G13" i="1"/>
  <c r="C30" i="5"/>
  <c r="J19" i="3" l="1"/>
  <c r="K7" i="1"/>
  <c r="K10" i="2"/>
  <c r="K17" i="2"/>
  <c r="K20" i="2"/>
  <c r="K19" i="3" s="1"/>
  <c r="K10" i="1"/>
  <c r="H13" i="1"/>
  <c r="B40" i="5"/>
  <c r="C51" i="21"/>
  <c r="C8" i="21"/>
  <c r="H8" i="2" l="1"/>
  <c r="H24" i="2"/>
  <c r="H7" i="2"/>
  <c r="I13" i="1"/>
  <c r="I24" i="2" l="1"/>
  <c r="I7" i="2"/>
  <c r="I8" i="2"/>
  <c r="J13" i="1"/>
  <c r="J7" i="2" l="1"/>
  <c r="J8" i="2"/>
  <c r="J24" i="2"/>
  <c r="K13" i="1"/>
  <c r="G64" i="21"/>
  <c r="F64" i="21"/>
  <c r="E64" i="21"/>
  <c r="D64" i="21"/>
  <c r="C64" i="21"/>
  <c r="C24" i="21"/>
  <c r="G51" i="21"/>
  <c r="F51" i="21"/>
  <c r="E51" i="21"/>
  <c r="D51" i="21"/>
  <c r="G65" i="21"/>
  <c r="F65" i="21"/>
  <c r="E65" i="21"/>
  <c r="D65" i="21"/>
  <c r="C65" i="21"/>
  <c r="G47" i="21"/>
  <c r="F47" i="21"/>
  <c r="E47" i="21"/>
  <c r="D47" i="21"/>
  <c r="C47" i="21"/>
  <c r="G46" i="21"/>
  <c r="F46" i="21"/>
  <c r="E46" i="21"/>
  <c r="D46" i="21"/>
  <c r="C46" i="21"/>
  <c r="G25" i="21"/>
  <c r="F25" i="21"/>
  <c r="E25" i="21"/>
  <c r="D25" i="21"/>
  <c r="C25" i="21"/>
  <c r="G72" i="21"/>
  <c r="F72" i="21"/>
  <c r="E72" i="21"/>
  <c r="D72" i="21"/>
  <c r="C72" i="21"/>
  <c r="G73" i="21"/>
  <c r="F73" i="21"/>
  <c r="E73" i="21"/>
  <c r="D73" i="21"/>
  <c r="C73" i="21"/>
  <c r="G67" i="21"/>
  <c r="F67" i="21"/>
  <c r="E67" i="21"/>
  <c r="D67" i="21"/>
  <c r="C67" i="21"/>
  <c r="G66" i="21"/>
  <c r="F66" i="21"/>
  <c r="E66" i="21"/>
  <c r="D66" i="21"/>
  <c r="C66" i="21"/>
  <c r="G59" i="21"/>
  <c r="F59" i="21"/>
  <c r="E59" i="21"/>
  <c r="D59" i="21"/>
  <c r="C59" i="21"/>
  <c r="G58" i="21"/>
  <c r="F58" i="21"/>
  <c r="E58" i="21"/>
  <c r="D58" i="21"/>
  <c r="C58" i="21"/>
  <c r="G56" i="21"/>
  <c r="F56" i="21"/>
  <c r="E56" i="21"/>
  <c r="D56" i="21"/>
  <c r="C56" i="21"/>
  <c r="G52" i="21"/>
  <c r="F52" i="21"/>
  <c r="C52" i="21"/>
  <c r="G34" i="21"/>
  <c r="F34" i="21"/>
  <c r="E34" i="21"/>
  <c r="D34" i="21"/>
  <c r="C34" i="21"/>
  <c r="B25" i="1"/>
  <c r="G44" i="21"/>
  <c r="F44" i="21"/>
  <c r="E44" i="21"/>
  <c r="D44" i="21"/>
  <c r="C44" i="21"/>
  <c r="G43" i="21"/>
  <c r="F43" i="21"/>
  <c r="E43" i="21"/>
  <c r="D43" i="21"/>
  <c r="C43" i="21"/>
  <c r="G42" i="21"/>
  <c r="F42" i="21"/>
  <c r="E42" i="21"/>
  <c r="D42" i="21"/>
  <c r="C42" i="21"/>
  <c r="G41" i="21"/>
  <c r="F41" i="21"/>
  <c r="E41" i="21"/>
  <c r="D41" i="21"/>
  <c r="C41" i="21"/>
  <c r="G37" i="21"/>
  <c r="F37" i="21"/>
  <c r="E37" i="21"/>
  <c r="D37" i="21"/>
  <c r="C37" i="21"/>
  <c r="G36" i="21"/>
  <c r="F36" i="21"/>
  <c r="E36" i="21"/>
  <c r="D36" i="21"/>
  <c r="C36" i="21"/>
  <c r="G35" i="21"/>
  <c r="F35" i="21"/>
  <c r="E35" i="21"/>
  <c r="D35" i="21"/>
  <c r="C35" i="21"/>
  <c r="G33" i="21"/>
  <c r="F33" i="21"/>
  <c r="E33" i="21"/>
  <c r="D33" i="21"/>
  <c r="C33" i="21"/>
  <c r="K24" i="2" l="1"/>
  <c r="K7" i="2"/>
  <c r="K8" i="2"/>
  <c r="C38" i="21"/>
  <c r="D38" i="21"/>
  <c r="F38" i="21"/>
  <c r="G38" i="21"/>
  <c r="G60" i="21"/>
  <c r="G62" i="21" s="1"/>
  <c r="E38" i="21"/>
  <c r="D60" i="21"/>
  <c r="D61" i="21" s="1"/>
  <c r="C60" i="21"/>
  <c r="C62" i="21" s="1"/>
  <c r="C57" i="21"/>
  <c r="C54" i="21"/>
  <c r="G53" i="21"/>
  <c r="G54" i="21"/>
  <c r="D52" i="21"/>
  <c r="D53" i="21"/>
  <c r="D54" i="21"/>
  <c r="E52" i="21"/>
  <c r="G57" i="21"/>
  <c r="D57" i="21"/>
  <c r="C53" i="21"/>
  <c r="C61" i="21" l="1"/>
  <c r="G61" i="21"/>
  <c r="D62" i="21"/>
  <c r="F54" i="21"/>
  <c r="F53" i="21"/>
  <c r="F60" i="21"/>
  <c r="F57" i="21"/>
  <c r="E54" i="21"/>
  <c r="E53" i="21"/>
  <c r="E60" i="21"/>
  <c r="E57" i="21"/>
  <c r="E62" i="21" l="1"/>
  <c r="E61" i="21"/>
  <c r="F61" i="21"/>
  <c r="F62" i="21"/>
  <c r="G30" i="21" l="1"/>
  <c r="F30" i="21"/>
  <c r="E30" i="21"/>
  <c r="D30" i="21"/>
  <c r="C30" i="21"/>
  <c r="G29" i="21"/>
  <c r="F29" i="21"/>
  <c r="E29" i="21"/>
  <c r="D29" i="21"/>
  <c r="C29" i="21"/>
  <c r="G28" i="21"/>
  <c r="G79" i="21" s="1"/>
  <c r="F28" i="21"/>
  <c r="F79" i="21" s="1"/>
  <c r="E28" i="21"/>
  <c r="E79" i="21" s="1"/>
  <c r="D28" i="21"/>
  <c r="D79" i="21" s="1"/>
  <c r="C28" i="21"/>
  <c r="G26" i="21"/>
  <c r="F26" i="21"/>
  <c r="E26" i="21"/>
  <c r="D26" i="21"/>
  <c r="C26" i="21"/>
  <c r="G24" i="21"/>
  <c r="F24" i="21"/>
  <c r="E24" i="21"/>
  <c r="D24" i="21"/>
  <c r="G6" i="21"/>
  <c r="F6" i="21"/>
  <c r="E6" i="21"/>
  <c r="D6" i="21"/>
  <c r="C6" i="21"/>
  <c r="G22" i="21"/>
  <c r="F22" i="21"/>
  <c r="E22" i="21"/>
  <c r="D22" i="21"/>
  <c r="G21" i="21"/>
  <c r="F21" i="21"/>
  <c r="E21" i="21"/>
  <c r="D21" i="21"/>
  <c r="G20" i="21"/>
  <c r="F20" i="21"/>
  <c r="E20" i="21"/>
  <c r="D20" i="21"/>
  <c r="G19" i="21"/>
  <c r="F19" i="21"/>
  <c r="E19" i="21"/>
  <c r="D19" i="21"/>
  <c r="G17" i="21"/>
  <c r="F17" i="21"/>
  <c r="E17" i="21"/>
  <c r="D17" i="21"/>
  <c r="C17" i="21"/>
  <c r="G16" i="21"/>
  <c r="F16" i="21"/>
  <c r="E16" i="21"/>
  <c r="D16" i="21"/>
  <c r="C16" i="21"/>
  <c r="G15" i="21"/>
  <c r="F15" i="21"/>
  <c r="E15" i="21"/>
  <c r="D15" i="21"/>
  <c r="C15" i="21"/>
  <c r="G14" i="21"/>
  <c r="F14" i="21"/>
  <c r="E14" i="21"/>
  <c r="D14" i="21"/>
  <c r="C14" i="21"/>
  <c r="G13" i="21"/>
  <c r="F13" i="21"/>
  <c r="E13" i="21"/>
  <c r="D13" i="21"/>
  <c r="C13" i="21"/>
  <c r="G8" i="21"/>
  <c r="F8" i="21"/>
  <c r="E8" i="21"/>
  <c r="D8" i="21"/>
  <c r="G7" i="21"/>
  <c r="F7" i="21"/>
  <c r="E7" i="21"/>
  <c r="D7" i="21"/>
  <c r="C7" i="21"/>
  <c r="G5" i="21"/>
  <c r="F5" i="21"/>
  <c r="E5" i="21"/>
  <c r="D5" i="21"/>
  <c r="C5" i="21"/>
  <c r="B39" i="5" l="1"/>
  <c r="F31" i="21"/>
  <c r="C31" i="21"/>
  <c r="G31" i="21"/>
  <c r="D31" i="21"/>
  <c r="E31" i="21"/>
  <c r="I4" i="21"/>
  <c r="H34" i="12"/>
  <c r="B33" i="5"/>
  <c r="B32" i="5"/>
  <c r="B14" i="5" s="1"/>
  <c r="B31" i="5"/>
  <c r="G12" i="15"/>
  <c r="F12" i="15"/>
  <c r="E12" i="15"/>
  <c r="D12" i="15"/>
  <c r="C12" i="15"/>
  <c r="B12" i="15"/>
  <c r="G6" i="10" l="1"/>
  <c r="G5" i="10"/>
  <c r="B34" i="12"/>
  <c r="D34" i="12"/>
  <c r="E34" i="12" s="1"/>
  <c r="C3" i="12"/>
  <c r="C9" i="21" s="1"/>
  <c r="C10" i="21" s="1"/>
  <c r="K20" i="6"/>
  <c r="J20" i="6"/>
  <c r="I20" i="6"/>
  <c r="H20" i="6"/>
  <c r="G20" i="6"/>
  <c r="H6" i="6"/>
  <c r="K6" i="6"/>
  <c r="J6" i="6"/>
  <c r="I6" i="6"/>
  <c r="G6" i="6"/>
  <c r="H5" i="6"/>
  <c r="K5" i="6"/>
  <c r="J5" i="6"/>
  <c r="I5" i="6"/>
  <c r="G5" i="6"/>
  <c r="F5" i="6"/>
  <c r="G3" i="6"/>
  <c r="G4" i="6" s="1"/>
  <c r="F11" i="2"/>
  <c r="F85" i="6"/>
  <c r="E85" i="6"/>
  <c r="D85" i="6"/>
  <c r="C85" i="6"/>
  <c r="B85" i="6"/>
  <c r="F40" i="6"/>
  <c r="E40" i="6"/>
  <c r="D40" i="6"/>
  <c r="C40" i="6"/>
  <c r="B40" i="6"/>
  <c r="C11" i="2"/>
  <c r="E11" i="2"/>
  <c r="D11" i="2"/>
  <c r="B11" i="2"/>
  <c r="B21" i="6"/>
  <c r="F20" i="6"/>
  <c r="E20" i="6"/>
  <c r="D20" i="6"/>
  <c r="C20" i="6"/>
  <c r="B20" i="6"/>
  <c r="C21" i="6"/>
  <c r="D21" i="6"/>
  <c r="E21" i="6"/>
  <c r="F21" i="6"/>
  <c r="B22" i="6"/>
  <c r="C22" i="6"/>
  <c r="D22" i="6"/>
  <c r="E22" i="6"/>
  <c r="F22" i="6"/>
  <c r="B24" i="6"/>
  <c r="C24" i="6"/>
  <c r="D24" i="6"/>
  <c r="E24" i="6"/>
  <c r="F24" i="6"/>
  <c r="B25" i="6"/>
  <c r="C25" i="6"/>
  <c r="D25" i="6"/>
  <c r="E25" i="6"/>
  <c r="F25" i="6"/>
  <c r="B26" i="6"/>
  <c r="C26" i="6"/>
  <c r="D26" i="6"/>
  <c r="E26" i="6"/>
  <c r="F26" i="6"/>
  <c r="B29" i="6"/>
  <c r="C29" i="6"/>
  <c r="D29" i="6"/>
  <c r="E29" i="6"/>
  <c r="F29" i="6"/>
  <c r="B30" i="6"/>
  <c r="C30" i="6"/>
  <c r="D30" i="6"/>
  <c r="E30" i="6"/>
  <c r="F30" i="6"/>
  <c r="B31" i="6"/>
  <c r="C31" i="6"/>
  <c r="D31" i="6"/>
  <c r="E31" i="6"/>
  <c r="F31" i="6"/>
  <c r="B32" i="6"/>
  <c r="C32" i="6"/>
  <c r="D32" i="6"/>
  <c r="E32" i="6"/>
  <c r="F32" i="6"/>
  <c r="B33" i="6"/>
  <c r="C33" i="6"/>
  <c r="D33" i="6"/>
  <c r="E33" i="6"/>
  <c r="F33" i="6"/>
  <c r="B34" i="6"/>
  <c r="C34" i="6"/>
  <c r="D34" i="6"/>
  <c r="E34" i="6"/>
  <c r="F34" i="6"/>
  <c r="B35" i="6"/>
  <c r="C35" i="6"/>
  <c r="D35" i="6"/>
  <c r="E35" i="6"/>
  <c r="F35" i="6"/>
  <c r="B36" i="6"/>
  <c r="C36" i="6"/>
  <c r="D36" i="6"/>
  <c r="E36" i="6"/>
  <c r="F36" i="6"/>
  <c r="B37" i="6"/>
  <c r="C37" i="6"/>
  <c r="D37" i="6"/>
  <c r="E37" i="6"/>
  <c r="F37" i="6"/>
  <c r="B91" i="6"/>
  <c r="B4" i="6"/>
  <c r="C4" i="6" s="1"/>
  <c r="D4" i="6" s="1"/>
  <c r="E4" i="6" s="1"/>
  <c r="F4" i="6" s="1"/>
  <c r="B3" i="6"/>
  <c r="C3" i="6"/>
  <c r="D3" i="6"/>
  <c r="E3" i="6"/>
  <c r="F3" i="6"/>
  <c r="H45" i="12" l="1" a="1"/>
  <c r="H45" i="12" s="1"/>
  <c r="H48" i="12" s="1"/>
  <c r="B6" i="24" a="1"/>
  <c r="B6" i="24" s="1"/>
  <c r="B7" i="24" s="1"/>
  <c r="B60" i="6" a="1"/>
  <c r="B60" i="6" s="1"/>
  <c r="B62" i="6" s="1"/>
  <c r="B66" i="6" s="1"/>
  <c r="B70" i="6" s="1"/>
  <c r="B6" i="23" a="1"/>
  <c r="B6" i="23" s="1"/>
  <c r="F70" i="21"/>
  <c r="F71" i="21"/>
  <c r="G70" i="21"/>
  <c r="G71" i="21"/>
  <c r="D70" i="21"/>
  <c r="D71" i="21"/>
  <c r="C70" i="21"/>
  <c r="C71" i="21"/>
  <c r="E23" i="6"/>
  <c r="E71" i="21"/>
  <c r="E70" i="21"/>
  <c r="D23" i="6"/>
  <c r="B23" i="6"/>
  <c r="F23" i="6"/>
  <c r="C23" i="6"/>
  <c r="L3" i="12"/>
  <c r="K3" i="12"/>
  <c r="J3" i="12"/>
  <c r="I3" i="12"/>
  <c r="H3" i="12"/>
  <c r="G3" i="12"/>
  <c r="G9" i="21" s="1"/>
  <c r="G10" i="21" s="1"/>
  <c r="F3" i="12"/>
  <c r="F9" i="21" s="1"/>
  <c r="F10" i="21" s="1"/>
  <c r="E3" i="12"/>
  <c r="E9" i="21" s="1"/>
  <c r="E10" i="21" s="1"/>
  <c r="D3" i="12"/>
  <c r="B6" i="12" l="1"/>
  <c r="B8" i="12" s="1"/>
  <c r="B9" i="12" s="1"/>
  <c r="B11" i="12" s="1"/>
  <c r="B12" i="12" s="1"/>
  <c r="B15" i="12" s="1"/>
  <c r="B9" i="23"/>
  <c r="B78" i="12" s="1"/>
  <c r="B76" i="12"/>
  <c r="B4" i="12"/>
  <c r="D9" i="21"/>
  <c r="D10" i="21" s="1"/>
  <c r="G4" i="12"/>
  <c r="H4" i="12" s="1"/>
  <c r="I4" i="12" s="1"/>
  <c r="J4" i="12" s="1"/>
  <c r="K4" i="12" s="1"/>
  <c r="B10" i="12"/>
  <c r="B53" i="12"/>
  <c r="B41" i="12"/>
  <c r="B44" i="12" s="1"/>
  <c r="H41" i="12"/>
  <c r="H40" i="12"/>
  <c r="H36" i="12"/>
  <c r="H35" i="12"/>
  <c r="E37" i="12" l="1"/>
  <c r="D37" i="12"/>
  <c r="B36" i="12"/>
  <c r="D36" i="12"/>
  <c r="E36" i="12" s="1"/>
  <c r="D38" i="12"/>
  <c r="E38" i="12" s="1"/>
  <c r="B45" i="12"/>
  <c r="B35" i="12"/>
  <c r="D35" i="12"/>
  <c r="E35" i="12" s="1"/>
  <c r="G18" i="12"/>
  <c r="F18" i="12"/>
  <c r="E18" i="12"/>
  <c r="D18" i="12"/>
  <c r="C18" i="12"/>
  <c r="B43" i="6"/>
  <c r="E77" i="6"/>
  <c r="D77" i="6"/>
  <c r="C77" i="6"/>
  <c r="B77" i="6"/>
  <c r="F77" i="6"/>
  <c r="E76" i="6"/>
  <c r="D76" i="6"/>
  <c r="C76" i="6"/>
  <c r="B76" i="6"/>
  <c r="E74" i="6"/>
  <c r="D74" i="6"/>
  <c r="C74" i="6"/>
  <c r="B74" i="6"/>
  <c r="F74" i="6"/>
  <c r="E73" i="6"/>
  <c r="D73" i="6"/>
  <c r="C73" i="6"/>
  <c r="B73" i="6"/>
  <c r="E39" i="12" l="1"/>
  <c r="B46" i="5" s="1"/>
  <c r="D46" i="5" s="1"/>
  <c r="E75" i="6"/>
  <c r="E86" i="6" s="1"/>
  <c r="C19" i="12"/>
  <c r="G19" i="12" s="1"/>
  <c r="H19" i="12" s="1"/>
  <c r="I19" i="12" s="1"/>
  <c r="J19" i="12" s="1"/>
  <c r="K19" i="12" s="1"/>
  <c r="B19" i="15"/>
  <c r="B18" i="15"/>
  <c r="B15" i="15"/>
  <c r="D75" i="6"/>
  <c r="D86" i="6" s="1"/>
  <c r="C75" i="6"/>
  <c r="C86" i="6" s="1"/>
  <c r="B75" i="6"/>
  <c r="B86" i="6" s="1"/>
  <c r="B17" i="15" s="1"/>
  <c r="C102" i="6"/>
  <c r="F50" i="6"/>
  <c r="E50" i="6"/>
  <c r="D50" i="6"/>
  <c r="C50" i="6"/>
  <c r="B50" i="6"/>
  <c r="B92" i="6"/>
  <c r="B94" i="6"/>
  <c r="B93" i="6"/>
  <c r="B95" i="6" l="1"/>
  <c r="H37" i="12"/>
  <c r="C98" i="6"/>
  <c r="C99" i="6"/>
  <c r="H38" i="12" l="1"/>
  <c r="B38" i="12" s="1"/>
  <c r="H39" i="12"/>
  <c r="B37" i="12" s="1"/>
  <c r="C101" i="6"/>
  <c r="C100" i="6"/>
  <c r="F43" i="6" l="1"/>
  <c r="F76" i="6"/>
  <c r="F73" i="6"/>
  <c r="F75" i="6" s="1"/>
  <c r="F86" i="6" s="1"/>
  <c r="B69" i="6"/>
  <c r="K54" i="6"/>
  <c r="J54" i="6"/>
  <c r="I54" i="6"/>
  <c r="H54" i="6"/>
  <c r="G54" i="6"/>
  <c r="F54" i="6"/>
  <c r="E54" i="6"/>
  <c r="D54" i="6"/>
  <c r="C54" i="6"/>
  <c r="B54" i="6"/>
  <c r="F53" i="6"/>
  <c r="E53" i="6"/>
  <c r="D53" i="6"/>
  <c r="C53" i="6"/>
  <c r="B53" i="6"/>
  <c r="F48" i="6"/>
  <c r="E48" i="6"/>
  <c r="D48" i="6"/>
  <c r="C48" i="6"/>
  <c r="B48" i="6"/>
  <c r="B49" i="6"/>
  <c r="C43" i="6"/>
  <c r="K43" i="6"/>
  <c r="K15" i="1" s="1"/>
  <c r="K17" i="1" s="1"/>
  <c r="J43" i="6"/>
  <c r="J15" i="1" s="1"/>
  <c r="J17" i="1" s="1"/>
  <c r="I43" i="6"/>
  <c r="I15" i="1" s="1"/>
  <c r="I17" i="1" s="1"/>
  <c r="H43" i="6"/>
  <c r="H15" i="1" s="1"/>
  <c r="H17" i="1" s="1"/>
  <c r="H18" i="1" s="1"/>
  <c r="G43" i="6"/>
  <c r="G15" i="1" s="1"/>
  <c r="G17" i="1" s="1"/>
  <c r="E43" i="6"/>
  <c r="D43" i="6"/>
  <c r="F16" i="6"/>
  <c r="E16" i="6"/>
  <c r="D16" i="6"/>
  <c r="C16" i="6"/>
  <c r="B16" i="6"/>
  <c r="F15" i="6"/>
  <c r="E15" i="6"/>
  <c r="D15" i="6"/>
  <c r="C15" i="6"/>
  <c r="B15" i="6"/>
  <c r="F14" i="6"/>
  <c r="E14" i="6"/>
  <c r="D14" i="6"/>
  <c r="C14" i="6"/>
  <c r="B14" i="6"/>
  <c r="F13" i="6"/>
  <c r="E13" i="6"/>
  <c r="D13" i="6"/>
  <c r="C13" i="6"/>
  <c r="B13" i="6"/>
  <c r="F12" i="6"/>
  <c r="E12" i="6"/>
  <c r="D12" i="6"/>
  <c r="C12" i="6"/>
  <c r="B12" i="6"/>
  <c r="F11" i="6"/>
  <c r="E11" i="6"/>
  <c r="D11" i="6"/>
  <c r="C11" i="6"/>
  <c r="B11" i="6"/>
  <c r="F10" i="6"/>
  <c r="E10" i="6"/>
  <c r="D10" i="6"/>
  <c r="C10" i="6"/>
  <c r="B10" i="6"/>
  <c r="F9" i="6"/>
  <c r="F14" i="15" s="1"/>
  <c r="E9" i="6"/>
  <c r="E14" i="15" s="1"/>
  <c r="D9" i="6"/>
  <c r="D14" i="15" s="1"/>
  <c r="C9" i="6"/>
  <c r="C14" i="15" s="1"/>
  <c r="F8" i="6"/>
  <c r="E8" i="6"/>
  <c r="D8" i="6"/>
  <c r="C8" i="6"/>
  <c r="B9" i="6"/>
  <c r="B14" i="15" s="1"/>
  <c r="B8" i="6"/>
  <c r="F7" i="6"/>
  <c r="E7" i="6"/>
  <c r="D7" i="6"/>
  <c r="C7" i="6"/>
  <c r="B7" i="6"/>
  <c r="F6" i="6"/>
  <c r="E6" i="6"/>
  <c r="D6" i="6"/>
  <c r="C6" i="6"/>
  <c r="B6" i="6"/>
  <c r="E5" i="6"/>
  <c r="D5" i="6"/>
  <c r="C5" i="6"/>
  <c r="B5" i="6"/>
  <c r="K87" i="6" l="1"/>
  <c r="D15" i="15"/>
  <c r="E87" i="6"/>
  <c r="D17" i="15"/>
  <c r="E15" i="15"/>
  <c r="F87" i="6"/>
  <c r="E17" i="15"/>
  <c r="J87" i="6"/>
  <c r="H87" i="6"/>
  <c r="F17" i="15"/>
  <c r="C16" i="15"/>
  <c r="E16" i="15"/>
  <c r="F16" i="15"/>
  <c r="B16" i="15"/>
  <c r="D16" i="15"/>
  <c r="I87" i="6"/>
  <c r="C15" i="15"/>
  <c r="B87" i="6"/>
  <c r="D87" i="6"/>
  <c r="C87" i="6"/>
  <c r="C17" i="15"/>
  <c r="F15" i="15"/>
  <c r="G87" i="6"/>
  <c r="B55" i="6"/>
  <c r="B56" i="6" s="1"/>
  <c r="F49" i="6"/>
  <c r="G49" i="6"/>
  <c r="C44" i="6"/>
  <c r="C45" i="6" s="1"/>
  <c r="C49" i="6"/>
  <c r="D44" i="6"/>
  <c r="D45" i="6" s="1"/>
  <c r="D49" i="6"/>
  <c r="K44" i="6"/>
  <c r="K45" i="6" s="1"/>
  <c r="E44" i="6"/>
  <c r="E45" i="6" s="1"/>
  <c r="E49" i="6"/>
  <c r="F55" i="6"/>
  <c r="F56" i="6" s="1"/>
  <c r="B44" i="6"/>
  <c r="B45" i="6" s="1"/>
  <c r="E55" i="6"/>
  <c r="E56" i="6" s="1"/>
  <c r="F44" i="6"/>
  <c r="F45" i="6" s="1"/>
  <c r="H44" i="6"/>
  <c r="H45" i="6" s="1"/>
  <c r="G44" i="6"/>
  <c r="G45" i="6" s="1"/>
  <c r="I44" i="6"/>
  <c r="I45" i="6" s="1"/>
  <c r="C55" i="6"/>
  <c r="C56" i="6" s="1"/>
  <c r="J44" i="6"/>
  <c r="J45" i="6" s="1"/>
  <c r="D55" i="6"/>
  <c r="D56" i="6" s="1"/>
  <c r="F27" i="1"/>
  <c r="E27" i="1"/>
  <c r="D27" i="1"/>
  <c r="C27" i="1"/>
  <c r="B27" i="1"/>
  <c r="F26" i="1"/>
  <c r="E26" i="1"/>
  <c r="D26" i="1"/>
  <c r="C26" i="1"/>
  <c r="B26" i="1"/>
  <c r="F25" i="1"/>
  <c r="E25" i="1"/>
  <c r="D25" i="1"/>
  <c r="C25" i="1"/>
  <c r="H49" i="6"/>
  <c r="G48" i="3"/>
  <c r="H48" i="3" s="1"/>
  <c r="I48" i="3" s="1"/>
  <c r="J48" i="3" s="1"/>
  <c r="K48" i="3" s="1"/>
  <c r="H47" i="3"/>
  <c r="I47" i="3" s="1"/>
  <c r="J47" i="3" s="1"/>
  <c r="K47" i="3" s="1"/>
  <c r="G40" i="3"/>
  <c r="H40" i="3" s="1"/>
  <c r="I40" i="3" s="1"/>
  <c r="J40" i="3" s="1"/>
  <c r="K40" i="3" s="1"/>
  <c r="G34" i="3"/>
  <c r="H34" i="3" s="1"/>
  <c r="I34" i="3" s="1"/>
  <c r="J34" i="3" s="1"/>
  <c r="K34" i="3" s="1"/>
  <c r="G30" i="3"/>
  <c r="H30" i="3" s="1"/>
  <c r="I30" i="3" s="1"/>
  <c r="J30" i="3" s="1"/>
  <c r="K30" i="3" s="1"/>
  <c r="G29" i="3"/>
  <c r="H29" i="3" s="1"/>
  <c r="I29" i="3" s="1"/>
  <c r="J29" i="3" s="1"/>
  <c r="K29" i="3" s="1"/>
  <c r="G28" i="3"/>
  <c r="H28" i="3" s="1"/>
  <c r="I28" i="3" s="1"/>
  <c r="J28" i="3" s="1"/>
  <c r="K28" i="3" s="1"/>
  <c r="G27" i="3"/>
  <c r="H27" i="3" s="1"/>
  <c r="I27" i="3" s="1"/>
  <c r="J27" i="3" s="1"/>
  <c r="K27" i="3" s="1"/>
  <c r="G26" i="3"/>
  <c r="G33" i="3"/>
  <c r="H33" i="3" s="1"/>
  <c r="I33" i="3" s="1"/>
  <c r="J33" i="3" s="1"/>
  <c r="K33" i="3" s="1"/>
  <c r="G32" i="3"/>
  <c r="H32" i="3" s="1"/>
  <c r="I32" i="3" s="1"/>
  <c r="J32" i="3" s="1"/>
  <c r="K32" i="3" s="1"/>
  <c r="H26" i="3" l="1"/>
  <c r="E13" i="15"/>
  <c r="H76" i="6"/>
  <c r="B13" i="15"/>
  <c r="C13" i="15"/>
  <c r="G17" i="15"/>
  <c r="D13" i="15"/>
  <c r="G16" i="15"/>
  <c r="F13" i="15"/>
  <c r="G11" i="6"/>
  <c r="G7" i="6"/>
  <c r="G10" i="6"/>
  <c r="G31" i="3"/>
  <c r="G11" i="3"/>
  <c r="H11" i="3" s="1"/>
  <c r="I11" i="3" s="1"/>
  <c r="J11" i="3" s="1"/>
  <c r="K11" i="3" s="1"/>
  <c r="G10" i="3"/>
  <c r="H10" i="3" s="1"/>
  <c r="I10" i="3" s="1"/>
  <c r="J10" i="3" s="1"/>
  <c r="K10" i="3" s="1"/>
  <c r="G9" i="3"/>
  <c r="H9" i="3" s="1"/>
  <c r="I9" i="3" s="1"/>
  <c r="J9" i="3" s="1"/>
  <c r="K9" i="3" s="1"/>
  <c r="G7" i="3"/>
  <c r="H7" i="3" s="1"/>
  <c r="I7" i="3" s="1"/>
  <c r="J7" i="3" s="1"/>
  <c r="K7" i="3" s="1"/>
  <c r="G6" i="3"/>
  <c r="H6" i="3" s="1"/>
  <c r="I6" i="3" s="1"/>
  <c r="J6" i="3" s="1"/>
  <c r="K6" i="3" s="1"/>
  <c r="I26" i="3" l="1"/>
  <c r="H31" i="3"/>
  <c r="G77" i="6"/>
  <c r="G38" i="3"/>
  <c r="I49" i="6"/>
  <c r="I76" i="6"/>
  <c r="D30" i="5"/>
  <c r="H3" i="6"/>
  <c r="H4" i="6" s="1"/>
  <c r="G13" i="15"/>
  <c r="H10" i="6"/>
  <c r="H48" i="6"/>
  <c r="H11" i="6"/>
  <c r="H7" i="6"/>
  <c r="G12" i="2"/>
  <c r="G15" i="2"/>
  <c r="H24" i="1"/>
  <c r="H22" i="1"/>
  <c r="I31" i="3" l="1"/>
  <c r="H77" i="6"/>
  <c r="J26" i="3"/>
  <c r="I38" i="3"/>
  <c r="H38" i="3"/>
  <c r="I24" i="1"/>
  <c r="I22" i="1"/>
  <c r="J49" i="6"/>
  <c r="K76" i="6"/>
  <c r="J76" i="6"/>
  <c r="E30" i="5"/>
  <c r="I3" i="6"/>
  <c r="I4" i="6" s="1"/>
  <c r="H12" i="2"/>
  <c r="I10" i="6"/>
  <c r="I48" i="6"/>
  <c r="I11" i="6"/>
  <c r="I7" i="6"/>
  <c r="G26" i="2"/>
  <c r="G21" i="2"/>
  <c r="G13" i="3"/>
  <c r="G12" i="6"/>
  <c r="K26" i="3" l="1"/>
  <c r="J31" i="3"/>
  <c r="J38" i="3" s="1"/>
  <c r="I77" i="6"/>
  <c r="J22" i="1"/>
  <c r="K22" i="1" s="1"/>
  <c r="J24" i="1"/>
  <c r="K49" i="6"/>
  <c r="G27" i="2"/>
  <c r="G31" i="2" s="1"/>
  <c r="F30" i="5"/>
  <c r="J3" i="6"/>
  <c r="J4" i="6" s="1"/>
  <c r="G85" i="6"/>
  <c r="I12" i="2"/>
  <c r="G21" i="3"/>
  <c r="J48" i="6"/>
  <c r="J11" i="6"/>
  <c r="J10" i="6"/>
  <c r="G15" i="3"/>
  <c r="G16" i="3"/>
  <c r="H26" i="2"/>
  <c r="H21" i="2"/>
  <c r="H12" i="6"/>
  <c r="H15" i="2"/>
  <c r="K31" i="3" l="1"/>
  <c r="K77" i="6" s="1"/>
  <c r="J77" i="6"/>
  <c r="K24" i="1"/>
  <c r="G30" i="5"/>
  <c r="K3" i="6"/>
  <c r="K4" i="6" s="1"/>
  <c r="H85" i="6"/>
  <c r="K11" i="6"/>
  <c r="K7" i="6"/>
  <c r="K10" i="6"/>
  <c r="K48" i="6"/>
  <c r="H21" i="3"/>
  <c r="J12" i="2"/>
  <c r="H15" i="3"/>
  <c r="H13" i="3"/>
  <c r="H8" i="6"/>
  <c r="H27" i="2"/>
  <c r="H31" i="2" s="1"/>
  <c r="H16" i="3"/>
  <c r="I26" i="2"/>
  <c r="I21" i="2"/>
  <c r="I12" i="6"/>
  <c r="I15" i="2"/>
  <c r="K38" i="3" l="1"/>
  <c r="B26" i="12"/>
  <c r="B51" i="12" s="1"/>
  <c r="B46" i="12" s="1"/>
  <c r="B48" i="12" s="1"/>
  <c r="B49" i="12" s="1"/>
  <c r="H26" i="1"/>
  <c r="D33" i="5" s="1"/>
  <c r="H25" i="1"/>
  <c r="B90" i="12" s="1"/>
  <c r="D90" i="12" s="1"/>
  <c r="H90" i="12" s="1"/>
  <c r="B98" i="12" s="1"/>
  <c r="I85" i="6"/>
  <c r="I15" i="3"/>
  <c r="H73" i="6"/>
  <c r="H9" i="6"/>
  <c r="I11" i="1"/>
  <c r="D18" i="23" s="1"/>
  <c r="D19" i="23" s="1"/>
  <c r="I8" i="6"/>
  <c r="K12" i="2"/>
  <c r="I21" i="3"/>
  <c r="I27" i="2"/>
  <c r="I31" i="2" s="1"/>
  <c r="I13" i="3"/>
  <c r="J26" i="2"/>
  <c r="J21" i="2"/>
  <c r="J16" i="3"/>
  <c r="J12" i="6"/>
  <c r="I16" i="3"/>
  <c r="J15" i="2"/>
  <c r="B50" i="12" l="1"/>
  <c r="B52" i="12"/>
  <c r="B61" i="12" s="1"/>
  <c r="I25" i="1"/>
  <c r="B91" i="12" s="1"/>
  <c r="D91" i="12" s="1"/>
  <c r="H91" i="12" s="1"/>
  <c r="B99" i="12" s="1"/>
  <c r="I26" i="1"/>
  <c r="E33" i="5" s="1"/>
  <c r="J85" i="6"/>
  <c r="H16" i="6"/>
  <c r="D19" i="15"/>
  <c r="J11" i="1"/>
  <c r="E18" i="23" s="1"/>
  <c r="E19" i="23" s="1"/>
  <c r="J8" i="6"/>
  <c r="I73" i="6"/>
  <c r="I9" i="6"/>
  <c r="J21" i="3"/>
  <c r="I18" i="1"/>
  <c r="I13" i="6" s="1"/>
  <c r="J15" i="3"/>
  <c r="H19" i="1"/>
  <c r="H13" i="6"/>
  <c r="J27" i="2"/>
  <c r="J31" i="2" s="1"/>
  <c r="K21" i="2"/>
  <c r="K26" i="2"/>
  <c r="K16" i="3"/>
  <c r="K12" i="6"/>
  <c r="J13" i="3"/>
  <c r="K15" i="2"/>
  <c r="B54" i="12" l="1"/>
  <c r="H20" i="1"/>
  <c r="J18" i="1"/>
  <c r="J13" i="6" s="1"/>
  <c r="J25" i="1"/>
  <c r="B92" i="12" s="1"/>
  <c r="D92" i="12" s="1"/>
  <c r="H92" i="12" s="1"/>
  <c r="B100" i="12" s="1"/>
  <c r="J26" i="1"/>
  <c r="F33" i="5" s="1"/>
  <c r="K85" i="6"/>
  <c r="I16" i="6"/>
  <c r="E19" i="15"/>
  <c r="I19" i="1"/>
  <c r="K11" i="1"/>
  <c r="F18" i="23" s="1"/>
  <c r="F19" i="23" s="1"/>
  <c r="K8" i="6"/>
  <c r="K21" i="3"/>
  <c r="J73" i="6"/>
  <c r="J9" i="6"/>
  <c r="K13" i="3"/>
  <c r="K15" i="3"/>
  <c r="H50" i="6"/>
  <c r="H74" i="6"/>
  <c r="H75" i="6" s="1"/>
  <c r="H14" i="6"/>
  <c r="K27" i="2"/>
  <c r="K31" i="2" s="1"/>
  <c r="H41" i="3" l="1"/>
  <c r="J19" i="1"/>
  <c r="K26" i="1"/>
  <c r="G33" i="5" s="1"/>
  <c r="K25" i="1"/>
  <c r="B93" i="12" s="1"/>
  <c r="D93" i="12" s="1"/>
  <c r="H93" i="12" s="1"/>
  <c r="I14" i="6"/>
  <c r="J16" i="6"/>
  <c r="F19" i="15"/>
  <c r="D31" i="5"/>
  <c r="I50" i="6"/>
  <c r="I20" i="1"/>
  <c r="I41" i="3" s="1"/>
  <c r="I74" i="6"/>
  <c r="I75" i="6" s="1"/>
  <c r="K18" i="1"/>
  <c r="K13" i="6" s="1"/>
  <c r="H53" i="6"/>
  <c r="H55" i="6" s="1"/>
  <c r="H56" i="6" s="1"/>
  <c r="H15" i="6"/>
  <c r="H88" i="6" s="1"/>
  <c r="H27" i="1"/>
  <c r="H23" i="1"/>
  <c r="H4" i="3"/>
  <c r="H24" i="3" s="1"/>
  <c r="H21" i="1"/>
  <c r="K9" i="6"/>
  <c r="K73" i="6"/>
  <c r="B101" i="12" l="1"/>
  <c r="H55" i="3"/>
  <c r="C23" i="23" s="1"/>
  <c r="H50" i="3"/>
  <c r="H52" i="3" s="1"/>
  <c r="J14" i="6"/>
  <c r="J20" i="1"/>
  <c r="J41" i="3" s="1"/>
  <c r="J74" i="6"/>
  <c r="J75" i="6" s="1"/>
  <c r="J50" i="6"/>
  <c r="I18" i="12"/>
  <c r="K16" i="6"/>
  <c r="D32" i="5"/>
  <c r="I27" i="1"/>
  <c r="E31" i="5"/>
  <c r="I21" i="1"/>
  <c r="I15" i="6"/>
  <c r="I88" i="6" s="1"/>
  <c r="K19" i="1"/>
  <c r="K20" i="1" s="1"/>
  <c r="K41" i="3" s="1"/>
  <c r="I4" i="3"/>
  <c r="I24" i="3" s="1"/>
  <c r="I55" i="3" s="1"/>
  <c r="D23" i="23" s="1"/>
  <c r="I23" i="1"/>
  <c r="I53" i="6"/>
  <c r="I55" i="6" s="1"/>
  <c r="I56" i="6" s="1"/>
  <c r="F31" i="5" l="1"/>
  <c r="I50" i="3"/>
  <c r="I52" i="3" s="1"/>
  <c r="J27" i="1"/>
  <c r="J53" i="6"/>
  <c r="J55" i="6" s="1"/>
  <c r="J56" i="6" s="1"/>
  <c r="J15" i="6"/>
  <c r="J88" i="6" s="1"/>
  <c r="E80" i="21"/>
  <c r="J21" i="1"/>
  <c r="J23" i="1"/>
  <c r="F32" i="5" s="1"/>
  <c r="J4" i="3"/>
  <c r="J24" i="3" s="1"/>
  <c r="J55" i="3" s="1"/>
  <c r="E23" i="23" s="1"/>
  <c r="J18" i="12"/>
  <c r="K50" i="6"/>
  <c r="E32" i="5"/>
  <c r="G31" i="5"/>
  <c r="D80" i="21"/>
  <c r="K14" i="6"/>
  <c r="K74" i="6"/>
  <c r="K75" i="6" s="1"/>
  <c r="K15" i="6"/>
  <c r="K88" i="6" s="1"/>
  <c r="K53" i="6"/>
  <c r="K55" i="6" s="1"/>
  <c r="K56" i="6" s="1"/>
  <c r="K27" i="1"/>
  <c r="K21" i="1"/>
  <c r="K23" i="1"/>
  <c r="K4" i="3"/>
  <c r="K24" i="3" s="1"/>
  <c r="K55" i="3" s="1"/>
  <c r="F23" i="23" s="1"/>
  <c r="K50" i="3" l="1"/>
  <c r="K52" i="3" s="1"/>
  <c r="J50" i="3"/>
  <c r="J52" i="3" s="1"/>
  <c r="K18" i="12"/>
  <c r="G32" i="5"/>
  <c r="L18" i="12"/>
  <c r="B22" i="12" s="1"/>
  <c r="F80" i="21"/>
  <c r="G80" i="21"/>
  <c r="I86" i="6"/>
  <c r="I79" i="6" s="1"/>
  <c r="H86" i="6"/>
  <c r="H79" i="6" s="1"/>
  <c r="B23" i="12" l="1"/>
  <c r="J86" i="6"/>
  <c r="J79" i="6" s="1"/>
  <c r="K86" i="6" l="1"/>
  <c r="G80" i="6" l="1"/>
  <c r="G81" i="6" s="1"/>
  <c r="K79" i="6"/>
  <c r="G76" i="6" l="1"/>
  <c r="G48" i="6"/>
  <c r="G8" i="6" l="1"/>
  <c r="G11" i="1"/>
  <c r="G18" i="1" l="1"/>
  <c r="B18" i="23"/>
  <c r="G73" i="6"/>
  <c r="G9" i="6"/>
  <c r="G26" i="1"/>
  <c r="C33" i="5" s="1"/>
  <c r="G25" i="1"/>
  <c r="B89" i="12" s="1"/>
  <c r="D89" i="12" s="1"/>
  <c r="H89" i="12" s="1"/>
  <c r="B97" i="12" s="1"/>
  <c r="G18" i="23" l="1"/>
  <c r="B19" i="23"/>
  <c r="G19" i="23" s="1"/>
  <c r="G16" i="6"/>
  <c r="C19" i="15"/>
  <c r="G19" i="15" s="1"/>
  <c r="G13" i="6"/>
  <c r="G19" i="1"/>
  <c r="G20" i="1" s="1"/>
  <c r="G41" i="3" l="1"/>
  <c r="G50" i="3" s="1"/>
  <c r="G23" i="1"/>
  <c r="C32" i="5" s="1"/>
  <c r="G4" i="3"/>
  <c r="G24" i="3" s="1"/>
  <c r="G55" i="3" s="1"/>
  <c r="B23" i="23" s="1"/>
  <c r="G23" i="23" s="1"/>
  <c r="G27" i="1"/>
  <c r="G53" i="6"/>
  <c r="G55" i="6" s="1"/>
  <c r="G56" i="6" s="1"/>
  <c r="G21" i="1"/>
  <c r="G74" i="6"/>
  <c r="G75" i="6" s="1"/>
  <c r="G86" i="6" s="1"/>
  <c r="G79" i="6" s="1"/>
  <c r="G82" i="6" s="1"/>
  <c r="G14" i="6"/>
  <c r="G50" i="6"/>
  <c r="C31" i="5"/>
  <c r="G15" i="6"/>
  <c r="G88" i="6" s="1"/>
  <c r="G52" i="3" l="1"/>
  <c r="G37" i="2"/>
  <c r="H37" i="2" s="1"/>
  <c r="H18" i="12"/>
  <c r="B24" i="12" s="1"/>
  <c r="B25" i="12" s="1"/>
  <c r="G83" i="6"/>
  <c r="G84" i="6" s="1"/>
  <c r="B27" i="12" l="1"/>
  <c r="B29" i="12" s="1"/>
  <c r="B30" i="12"/>
  <c r="I37" i="2"/>
  <c r="H39" i="2"/>
  <c r="H41" i="2" s="1"/>
  <c r="G39" i="2"/>
  <c r="G41" i="2" s="1"/>
  <c r="G54" i="3"/>
  <c r="H53" i="3" s="1"/>
  <c r="H54" i="3" s="1"/>
  <c r="H18" i="2" l="1"/>
  <c r="H42" i="2"/>
  <c r="D18" i="15"/>
  <c r="I39" i="2"/>
  <c r="I41" i="2" s="1"/>
  <c r="J37" i="2"/>
  <c r="G4" i="2"/>
  <c r="G11" i="2" s="1"/>
  <c r="I53" i="3"/>
  <c r="I54" i="3" s="1"/>
  <c r="I4" i="2" s="1"/>
  <c r="I16" i="2" s="1"/>
  <c r="H4" i="2"/>
  <c r="K37" i="2" l="1"/>
  <c r="K39" i="2" s="1"/>
  <c r="K41" i="2" s="1"/>
  <c r="J39" i="2"/>
  <c r="J41" i="2" s="1"/>
  <c r="I18" i="2"/>
  <c r="I42" i="2"/>
  <c r="E18" i="15"/>
  <c r="G18" i="2"/>
  <c r="G29" i="6" s="1"/>
  <c r="C18" i="15"/>
  <c r="G42" i="2"/>
  <c r="J53" i="3"/>
  <c r="J54" i="3" s="1"/>
  <c r="K53" i="3" s="1"/>
  <c r="H11" i="2"/>
  <c r="H24" i="6" s="1"/>
  <c r="H16" i="2"/>
  <c r="G16" i="2"/>
  <c r="I11" i="2"/>
  <c r="J18" i="2" l="1"/>
  <c r="F18" i="15"/>
  <c r="G18" i="15" s="1"/>
  <c r="J42" i="2"/>
  <c r="K18" i="2"/>
  <c r="K42" i="2"/>
  <c r="J4" i="2"/>
  <c r="J16" i="2" s="1"/>
  <c r="H33" i="6"/>
  <c r="H22" i="6"/>
  <c r="H34" i="6"/>
  <c r="H40" i="6"/>
  <c r="H25" i="6"/>
  <c r="H31" i="6"/>
  <c r="H30" i="6"/>
  <c r="H37" i="6"/>
  <c r="H29" i="6"/>
  <c r="H26" i="6"/>
  <c r="H35" i="6"/>
  <c r="H21" i="6"/>
  <c r="H32" i="6"/>
  <c r="H36" i="6"/>
  <c r="G36" i="6"/>
  <c r="G22" i="6"/>
  <c r="G30" i="6"/>
  <c r="G34" i="6"/>
  <c r="G25" i="6"/>
  <c r="G26" i="6"/>
  <c r="G32" i="6"/>
  <c r="G37" i="6"/>
  <c r="G33" i="6"/>
  <c r="G31" i="6"/>
  <c r="G35" i="6"/>
  <c r="G40" i="6"/>
  <c r="G24" i="6"/>
  <c r="G21" i="6"/>
  <c r="I37" i="6"/>
  <c r="I35" i="6"/>
  <c r="I40" i="6"/>
  <c r="I21" i="6"/>
  <c r="I26" i="6"/>
  <c r="I24" i="6"/>
  <c r="I31" i="6"/>
  <c r="I36" i="6"/>
  <c r="I34" i="6"/>
  <c r="I22" i="6"/>
  <c r="I25" i="6"/>
  <c r="I29" i="6"/>
  <c r="I33" i="6"/>
  <c r="I30" i="6"/>
  <c r="I32" i="6"/>
  <c r="K54" i="3"/>
  <c r="K4" i="2" s="1"/>
  <c r="H23" i="6" l="1"/>
  <c r="K16" i="2"/>
  <c r="B32" i="23"/>
  <c r="J11" i="2"/>
  <c r="J35" i="6" s="1"/>
  <c r="I38" i="21"/>
  <c r="G23" i="6"/>
  <c r="J31" i="21"/>
  <c r="J38" i="21"/>
  <c r="K11" i="2"/>
  <c r="J26" i="6"/>
  <c r="J24" i="6"/>
  <c r="I23" i="6"/>
  <c r="J34" i="6" l="1"/>
  <c r="J25" i="6"/>
  <c r="J22" i="6"/>
  <c r="J40" i="6"/>
  <c r="J31" i="6"/>
  <c r="J30" i="6"/>
  <c r="J37" i="6"/>
  <c r="J36" i="6"/>
  <c r="J33" i="6"/>
  <c r="J32" i="6"/>
  <c r="J21" i="6"/>
  <c r="J23" i="6" s="1"/>
  <c r="J29" i="6"/>
  <c r="K37" i="6"/>
  <c r="K24" i="6"/>
  <c r="K21" i="6"/>
  <c r="K26" i="6"/>
  <c r="K36" i="6"/>
  <c r="K22" i="6"/>
  <c r="K30" i="6"/>
  <c r="K40" i="6"/>
  <c r="K32" i="6"/>
  <c r="K34" i="6"/>
  <c r="K29" i="6"/>
  <c r="K31" i="6"/>
  <c r="K25" i="6"/>
  <c r="K35" i="6"/>
  <c r="K33" i="6"/>
  <c r="K31" i="21" l="1"/>
  <c r="K38" i="21"/>
  <c r="L31" i="21"/>
  <c r="K23" i="6"/>
  <c r="L38" i="21"/>
  <c r="M38" i="21" l="1"/>
  <c r="M31" i="21"/>
  <c r="J7" i="6"/>
  <c r="B14" i="12" l="1"/>
  <c r="B45" i="5" l="1"/>
  <c r="D45" i="5" s="1"/>
  <c r="B58" i="12"/>
  <c r="B28" i="24" l="1"/>
  <c r="B13" i="23" s="1"/>
  <c r="B83" i="12" s="1"/>
  <c r="C101" i="12" l="1"/>
  <c r="D101" i="12" s="1"/>
  <c r="C98" i="12"/>
  <c r="D98" i="12" s="1"/>
  <c r="C99" i="12"/>
  <c r="D99" i="12" s="1"/>
  <c r="C97" i="12"/>
  <c r="D97" i="12" s="1"/>
  <c r="C100" i="12"/>
  <c r="D100" i="12" s="1"/>
  <c r="B102" i="12"/>
  <c r="B27" i="23"/>
  <c r="E24" i="23"/>
  <c r="E25" i="23" s="1"/>
  <c r="C24" i="23"/>
  <c r="C25" i="23" s="1"/>
  <c r="B24" i="23"/>
  <c r="F24" i="23"/>
  <c r="F25" i="23" s="1"/>
  <c r="D24" i="23"/>
  <c r="D25" i="23" s="1"/>
  <c r="E97" i="12" l="1"/>
  <c r="B103" i="12"/>
  <c r="B28" i="23"/>
  <c r="G24" i="23"/>
  <c r="B25" i="23"/>
  <c r="G25" i="23" s="1"/>
  <c r="B104" i="12" l="1"/>
  <c r="B105" i="12" s="1"/>
  <c r="B106" i="12" s="1"/>
  <c r="B44" i="5" s="1"/>
  <c r="D44" i="5" s="1"/>
  <c r="B29" i="23"/>
  <c r="B34" i="23" s="1"/>
  <c r="B30" i="23" l="1"/>
  <c r="B31" i="23" s="1"/>
  <c r="B36" i="23" s="1"/>
  <c r="B39" i="23" s="1"/>
  <c r="B110" i="12"/>
  <c r="B109" i="12" s="1"/>
  <c r="B108" i="12"/>
  <c r="B59" i="12"/>
  <c r="B62" i="12" s="1"/>
  <c r="B35" i="23" l="1"/>
  <c r="B38" i="23"/>
  <c r="B47" i="5"/>
  <c r="D47" i="5" s="1"/>
  <c r="D48" i="5" s="1"/>
  <c r="B53" i="5" s="1"/>
  <c r="B54" i="5" l="1"/>
  <c r="B26" i="5" s="1"/>
  <c r="B25" i="5"/>
  <c r="D49" i="5" l="1"/>
  <c r="B55"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<sst xmlns="http://schemas.openxmlformats.org/spreadsheetml/2006/main" count="2341" uniqueCount="1097">
  <si>
    <t>Consolidated Statement of Operations - USD ($) shares in Millions, $ in Millions</t>
  </si>
  <si>
    <t>Income Statement [Abstract]</t>
  </si>
  <si>
    <t>Net revenue</t>
  </si>
  <si>
    <t>Operating Expenses</t>
  </si>
  <si>
    <t>General and administrative</t>
  </si>
  <si>
    <t>Advertising and marketing</t>
  </si>
  <si>
    <t>Depreciation and amortization</t>
  </si>
  <si>
    <t>Provision for litigation</t>
  </si>
  <si>
    <t>Total operating expenses</t>
  </si>
  <si>
    <t>Operating income</t>
  </si>
  <si>
    <t>Other Income (Expense)</t>
  </si>
  <si>
    <t>Investment income</t>
  </si>
  <si>
    <t>Gains (losses) on equity investments, net</t>
  </si>
  <si>
    <t>Interest expense</t>
  </si>
  <si>
    <t>Other income (expense), net</t>
  </si>
  <si>
    <t>Total other income (expense)</t>
  </si>
  <si>
    <t>Income before income taxes</t>
  </si>
  <si>
    <t>Income tax expense</t>
  </si>
  <si>
    <t>Net Income</t>
  </si>
  <si>
    <t>Basic Earnings per Share</t>
  </si>
  <si>
    <t>Basic weighted-average shares outstanding</t>
  </si>
  <si>
    <t>Diluted Earnings per Share</t>
  </si>
  <si>
    <t>Diluted weighted-average shares outstanding</t>
  </si>
  <si>
    <t> </t>
  </si>
  <si>
    <t>Consolidated Balance Sheet - USD ($) $ in Millions</t>
  </si>
  <si>
    <t>Assets</t>
  </si>
  <si>
    <t>Cash and cash equivalents</t>
  </si>
  <si>
    <t>Restricted cash for litigation settlement</t>
  </si>
  <si>
    <t>Investments</t>
  </si>
  <si>
    <t>Accounts receivable</t>
  </si>
  <si>
    <t>Settlement assets</t>
  </si>
  <si>
    <t>Restricted security deposits held for customers</t>
  </si>
  <si>
    <t>Prepaid expenses and other current assets</t>
  </si>
  <si>
    <t>Total current assets</t>
  </si>
  <si>
    <t>Property, equipment and right-of-use assets, net</t>
  </si>
  <si>
    <t>Deferred income taxes</t>
  </si>
  <si>
    <t>Goodwill</t>
  </si>
  <si>
    <t>Other intangible assets, net</t>
  </si>
  <si>
    <t>Other assets</t>
  </si>
  <si>
    <t>Total Assets</t>
  </si>
  <si>
    <t>Liabilities, Redeemable Non-controlling Interests and Equity</t>
  </si>
  <si>
    <t>Accounts payable</t>
  </si>
  <si>
    <t>Settlement obligations</t>
  </si>
  <si>
    <t>Accrued litigation</t>
  </si>
  <si>
    <t>Accrued expenses</t>
  </si>
  <si>
    <t>Current portion of long-term debt</t>
  </si>
  <si>
    <t>Other current liabilities</t>
  </si>
  <si>
    <t>Total current liabilities</t>
  </si>
  <si>
    <t>Long-term debt</t>
  </si>
  <si>
    <t>Other liabilities</t>
  </si>
  <si>
    <t>Total Liabilities</t>
  </si>
  <si>
    <t>Commitments and Contingencies</t>
  </si>
  <si>
    <t>Redeemable non-controlling interests</t>
  </si>
  <si>
    <t>Stockholders’ Equity</t>
  </si>
  <si>
    <t>Additional paid-in-capital</t>
  </si>
  <si>
    <t>Class A treasury stock, at cost, 425 and 409 shares, respectively</t>
  </si>
  <si>
    <t>Retained earnings</t>
  </si>
  <si>
    <t>Accumulated other comprehensive income (loss)</t>
  </si>
  <si>
    <t>Mastercard Incorporated Stockholders' Equity</t>
  </si>
  <si>
    <t>Non-controlling interests</t>
  </si>
  <si>
    <t>Total Equity</t>
  </si>
  <si>
    <t>Total Liabilities, Redeemable Non-controlling Interests and Equity</t>
  </si>
  <si>
    <t>Class A Common Stock</t>
  </si>
  <si>
    <t>Common stock value</t>
  </si>
  <si>
    <t>Class B Common Stock</t>
  </si>
  <si>
    <t xml:space="preserve"> </t>
  </si>
  <si>
    <t>Consolidated Statement of Cash Flows - USD ($) $ in Millions</t>
  </si>
  <si>
    <t>Operating Activities</t>
  </si>
  <si>
    <t>Net income</t>
  </si>
  <si>
    <t>Adjustments to reconcile net income to net cash provided by operating activities:</t>
  </si>
  <si>
    <t>Amortization of customer and merchant incentives</t>
  </si>
  <si>
    <t>(Gains) losses on equity investments, net</t>
  </si>
  <si>
    <t>Share-based compensation</t>
  </si>
  <si>
    <t>Other</t>
  </si>
  <si>
    <t>Changes in operating assets and liabilities:</t>
  </si>
  <si>
    <t>Income taxes receivable</t>
  </si>
  <si>
    <t>Prepaid expenses</t>
  </si>
  <si>
    <t>Accrued litigation and legal settlements</t>
  </si>
  <si>
    <t>Long-term taxes payable</t>
  </si>
  <si>
    <t>Net change in other assets and liabilities</t>
  </si>
  <si>
    <t>Net cash provided by operating activities</t>
  </si>
  <si>
    <t>Investing Activities</t>
  </si>
  <si>
    <t>Purchases of investment securities available-for-sale</t>
  </si>
  <si>
    <t>Purchases of investments held-to-maturity</t>
  </si>
  <si>
    <t>Proceeds from sales of investment securities available-for-sale</t>
  </si>
  <si>
    <t>Proceeds from maturities of investment securities available-for-sale</t>
  </si>
  <si>
    <t>Proceeds from maturities of investments held-to-maturity</t>
  </si>
  <si>
    <t>Purchases of property and equipment</t>
  </si>
  <si>
    <t>Capitalized software</t>
  </si>
  <si>
    <t>Purchases of equity investments</t>
  </si>
  <si>
    <t>Acquisition of businesses, net of cash acquired</t>
  </si>
  <si>
    <t>Settlement of interest rate derivative contracts</t>
  </si>
  <si>
    <t>Other investing activities</t>
  </si>
  <si>
    <t>Net cash used in investing activities</t>
  </si>
  <si>
    <t>Financing Activities</t>
  </si>
  <si>
    <t>Purchases of treasury stock</t>
  </si>
  <si>
    <t>Dividends paid</t>
  </si>
  <si>
    <t>Proceeds from debt, net</t>
  </si>
  <si>
    <t>Payment of debt</t>
  </si>
  <si>
    <t>Acquisition of redeemable non-controlling interests</t>
  </si>
  <si>
    <t>Contingent consideration paid</t>
  </si>
  <si>
    <t>Tax withholdings related to share-based payments</t>
  </si>
  <si>
    <t>Cash proceeds from exercise of stock options</t>
  </si>
  <si>
    <t>Other financing activities</t>
  </si>
  <si>
    <t>Net cash used in financing activities</t>
  </si>
  <si>
    <t>Effect of exchange rate changes on cash, cash equivalents, restricted cash and restricted cash equivalents</t>
  </si>
  <si>
    <t>Cash, cash equivalents, restricted cash and restricted cash equivalents - beginning of period</t>
  </si>
  <si>
    <t>Cash, cash equivalents, restricted cash and restricted cash equivalents - end of period</t>
  </si>
  <si>
    <t>Proceeds from sales of equity investments</t>
  </si>
  <si>
    <t>Acquisition of non-controlling interest</t>
  </si>
  <si>
    <t>Net increase (decrease) in cash, cash equivalents, restricted cash and restricted cash equivalents</t>
  </si>
  <si>
    <t>Mastercard Inc</t>
  </si>
  <si>
    <t>Value</t>
  </si>
  <si>
    <t>Other Income %</t>
  </si>
  <si>
    <t>Tax Rate</t>
  </si>
  <si>
    <t>Total Opex % of Revenue</t>
  </si>
  <si>
    <t>Share Buyback %</t>
  </si>
  <si>
    <t>2020</t>
  </si>
  <si>
    <t>2021</t>
  </si>
  <si>
    <t>2022</t>
  </si>
  <si>
    <t>2023</t>
  </si>
  <si>
    <t>2024</t>
  </si>
  <si>
    <t>Income Statement- USD ($) shares in Millions, $ in Millions</t>
  </si>
  <si>
    <t>Cash Flow Statement - USD ($) $ in Millions</t>
  </si>
  <si>
    <t>2025E</t>
  </si>
  <si>
    <t>2026E</t>
  </si>
  <si>
    <t>2027E</t>
  </si>
  <si>
    <t>2028E</t>
  </si>
  <si>
    <t>2029E</t>
  </si>
  <si>
    <t>Assumption</t>
  </si>
  <si>
    <t>Revenue Growth 2025E</t>
  </si>
  <si>
    <t>Revenue Growth 2026E</t>
  </si>
  <si>
    <t>Revenue Growth 2027E</t>
  </si>
  <si>
    <t>Revenue Growth 2028E</t>
  </si>
  <si>
    <t>Revenue Growth 2029E</t>
  </si>
  <si>
    <t>Cash % of Revenue</t>
  </si>
  <si>
    <t>Settlement Assets % of Revenue</t>
  </si>
  <si>
    <t>Prepaid Assets % of Revenue</t>
  </si>
  <si>
    <t>PPE Growth Rate</t>
  </si>
  <si>
    <t>Intangibles Growth Rate</t>
  </si>
  <si>
    <t>Accrued Exp % of Revenue</t>
  </si>
  <si>
    <t>Dividend Payout Ratio</t>
  </si>
  <si>
    <t xml:space="preserve">Mastercard Inc </t>
  </si>
  <si>
    <t>EBITDA</t>
  </si>
  <si>
    <t>Operating  Margin</t>
  </si>
  <si>
    <t>Net Margin</t>
  </si>
  <si>
    <t>Accounts Receivable % of Revenue</t>
  </si>
  <si>
    <t>Capital Allocation Assumptions</t>
  </si>
  <si>
    <t>Basis</t>
  </si>
  <si>
    <t>Revenue Growth</t>
  </si>
  <si>
    <t>Historical Trend</t>
  </si>
  <si>
    <t>Effective Tax Rate</t>
  </si>
  <si>
    <t>Opex</t>
  </si>
  <si>
    <t>3-Year Average</t>
  </si>
  <si>
    <t>Key Forecast Assumptions – Mastercard Financial Model</t>
  </si>
  <si>
    <t>Operating Income</t>
  </si>
  <si>
    <t>2025</t>
  </si>
  <si>
    <t>2026</t>
  </si>
  <si>
    <t>2027</t>
  </si>
  <si>
    <t>2028</t>
  </si>
  <si>
    <t>2029</t>
  </si>
  <si>
    <t>Net Revenue</t>
  </si>
  <si>
    <t>General &amp; Administrative</t>
  </si>
  <si>
    <t>Advertising &amp; Marketing</t>
  </si>
  <si>
    <t>Depreciation &amp; Amortization</t>
  </si>
  <si>
    <t>Provision for Litigation</t>
  </si>
  <si>
    <t>Total Operating Expenses</t>
  </si>
  <si>
    <t>Investment Income</t>
  </si>
  <si>
    <t>Interest Expense</t>
  </si>
  <si>
    <t>Total Other Income</t>
  </si>
  <si>
    <t>Income Before Tax</t>
  </si>
  <si>
    <t>Income Tax Expense</t>
  </si>
  <si>
    <t>Common Size Income Statement – Mastercard</t>
  </si>
  <si>
    <t>Variables</t>
  </si>
  <si>
    <t>Cash &amp; Cash Equivalents</t>
  </si>
  <si>
    <t>Accounts Receivable</t>
  </si>
  <si>
    <t>Settlement Assets</t>
  </si>
  <si>
    <t>Total Current Assets</t>
  </si>
  <si>
    <t>PPE</t>
  </si>
  <si>
    <t>Intangible Assets</t>
  </si>
  <si>
    <t>Other Assets</t>
  </si>
  <si>
    <t>Accounts Payable</t>
  </si>
  <si>
    <t>Accrued Expenses</t>
  </si>
  <si>
    <t>Total Current Liabilities</t>
  </si>
  <si>
    <t>Long-Term Debt</t>
  </si>
  <si>
    <t>Common Size Balance Sheet – Mastercard</t>
  </si>
  <si>
    <t>Liabilities</t>
  </si>
  <si>
    <t>Settlement Obligations</t>
  </si>
  <si>
    <t>Other Current Liabilities</t>
  </si>
  <si>
    <t>Deferred Taxes</t>
  </si>
  <si>
    <t>Asset Turnover Ratio</t>
  </si>
  <si>
    <t>Sales / Total Assets</t>
  </si>
  <si>
    <t>Debt Scheduling</t>
  </si>
  <si>
    <t>Total Debt</t>
  </si>
  <si>
    <t>Depreciation % of Revenue</t>
  </si>
  <si>
    <t>Interest % of Debt</t>
  </si>
  <si>
    <t>Depreciation, Interest, and Tax Schedule</t>
  </si>
  <si>
    <t>Dividend Schedule</t>
  </si>
  <si>
    <t>Dividend Payout %</t>
  </si>
  <si>
    <t>Dividends Paid</t>
  </si>
  <si>
    <t>Retained Earnings Added</t>
  </si>
  <si>
    <t>Calculate Ke</t>
  </si>
  <si>
    <t>Risk-free rate (Rf)</t>
  </si>
  <si>
    <t>Beta</t>
  </si>
  <si>
    <t>Market Risk Premium (Rm−Rf)</t>
  </si>
  <si>
    <t>Cost of Equity (Ke)</t>
  </si>
  <si>
    <t>WACC Calculation</t>
  </si>
  <si>
    <t>Weight of Equity (E/V)</t>
  </si>
  <si>
    <t>Weight of Debt (D/V)</t>
  </si>
  <si>
    <t>Cost of Debt (Kd)</t>
  </si>
  <si>
    <t>WACC</t>
  </si>
  <si>
    <t>FCFF / FCFE Calculation</t>
  </si>
  <si>
    <t>EBIT</t>
  </si>
  <si>
    <t>EBIT(1−Tax)</t>
  </si>
  <si>
    <t>Depreciation</t>
  </si>
  <si>
    <t>Capital Expenditure</t>
  </si>
  <si>
    <t>Change in Working Capital</t>
  </si>
  <si>
    <t>FCFF</t>
  </si>
  <si>
    <t>Net Borrowings</t>
  </si>
  <si>
    <t>FCFE</t>
  </si>
  <si>
    <t>Enterprise Value Calculation</t>
  </si>
  <si>
    <t>Market Capitalization</t>
  </si>
  <si>
    <t>Investments (if any)</t>
  </si>
  <si>
    <t>Enterprise Value</t>
  </si>
  <si>
    <t>Valuation Ratios</t>
  </si>
  <si>
    <t>Formula</t>
  </si>
  <si>
    <t>P/E</t>
  </si>
  <si>
    <t>Market Cap / Net Income</t>
  </si>
  <si>
    <t>P/B</t>
  </si>
  <si>
    <t>Market Cap / Equity</t>
  </si>
  <si>
    <t>EV/EBITDA</t>
  </si>
  <si>
    <t>EV / EBITDA</t>
  </si>
  <si>
    <t>EV/EBIT</t>
  </si>
  <si>
    <t>EV / EBIT</t>
  </si>
  <si>
    <t>P/S</t>
  </si>
  <si>
    <t>Market Cap / Revenue</t>
  </si>
  <si>
    <t>Date</t>
  </si>
  <si>
    <t>Index Close</t>
  </si>
  <si>
    <t>Stock Close</t>
  </si>
  <si>
    <t>Slope</t>
  </si>
  <si>
    <t>Units</t>
  </si>
  <si>
    <t>Scale</t>
  </si>
  <si>
    <t>Country/Series-specific Notes</t>
  </si>
  <si>
    <t>Gross domestic product, constant prices</t>
  </si>
  <si>
    <t>Billions</t>
  </si>
  <si>
    <t>Source: IMF / World Bank</t>
  </si>
  <si>
    <t>Estimates Starts After</t>
  </si>
  <si>
    <t>National currency</t>
  </si>
  <si>
    <t>Inflation, average consumer prices</t>
  </si>
  <si>
    <t>Percent change</t>
  </si>
  <si>
    <t>Index</t>
  </si>
  <si>
    <t>See notes for:  Gross domestic product, constant prices (National currency).</t>
  </si>
  <si>
    <t>See notes for:  Inflation, average consumer prices (Index).</t>
  </si>
  <si>
    <t>Source: CEIC</t>
  </si>
  <si>
    <t>Subject Descripton</t>
  </si>
  <si>
    <t>Years</t>
  </si>
  <si>
    <t>GDP</t>
  </si>
  <si>
    <t>Inflation</t>
  </si>
  <si>
    <t>% Change in Inflation</t>
  </si>
  <si>
    <t>Industry</t>
  </si>
  <si>
    <t>Company</t>
  </si>
  <si>
    <t>% Change in GDP</t>
  </si>
  <si>
    <t>Income Statement</t>
  </si>
  <si>
    <t>Balance Sheet</t>
  </si>
  <si>
    <t>Growth In Dividend</t>
  </si>
  <si>
    <t>Long Term Growth</t>
  </si>
  <si>
    <t>Long Term Ke</t>
  </si>
  <si>
    <t>Terminal value (Do*(1+g)/(Ke-g))</t>
  </si>
  <si>
    <t>PV Of Terminal Value</t>
  </si>
  <si>
    <t>PV Of Dividends</t>
  </si>
  <si>
    <t>No OF Outstanding shares</t>
  </si>
  <si>
    <t>Traded price as on 31st March</t>
  </si>
  <si>
    <t>Diff</t>
  </si>
  <si>
    <t>Value of security</t>
  </si>
  <si>
    <t>Long Term Growth Rate</t>
  </si>
  <si>
    <t xml:space="preserve">Value Of Security </t>
  </si>
  <si>
    <t>Relative Valuation</t>
  </si>
  <si>
    <t>P/BV</t>
  </si>
  <si>
    <t>EV/EBITA</t>
  </si>
  <si>
    <t>Economic Vale Add(EVA)</t>
  </si>
  <si>
    <t>Networth</t>
  </si>
  <si>
    <t>Ke</t>
  </si>
  <si>
    <t>Investor Expectation</t>
  </si>
  <si>
    <t>PAT</t>
  </si>
  <si>
    <t>Terminal Value</t>
  </si>
  <si>
    <t>PV Of EVA</t>
  </si>
  <si>
    <t>No of Outstanding Shares</t>
  </si>
  <si>
    <t>Book Value</t>
  </si>
  <si>
    <t>Price</t>
  </si>
  <si>
    <t>Residual Valuation</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</si>
  <si>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</si>
  <si>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</si>
  <si>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</si>
  <si>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</si>
  <si>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</si>
  <si>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</si>
  <si>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</si>
  <si>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</si>
  <si>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</si>
  <si>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</si>
  <si>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</si>
  <si>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</si>
  <si>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</si>
  <si>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</si>
  <si>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</si>
  <si>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</si>
  <si>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</si>
  <si>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</si>
  <si>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</si>
  <si>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</si>
  <si>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</si>
  <si>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</si>
  <si>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</si>
  <si>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</si>
  <si>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Amount</t>
  </si>
  <si>
    <t>Previous Close</t>
  </si>
  <si>
    <t>Total PV Of Firm</t>
  </si>
  <si>
    <t>-</t>
  </si>
  <si>
    <t>Intrinsic Value Per Share</t>
  </si>
  <si>
    <t>EPS</t>
  </si>
  <si>
    <t>BVPS</t>
  </si>
  <si>
    <t>Sales Per Share</t>
  </si>
  <si>
    <t>EBITDA Per Share</t>
  </si>
  <si>
    <t>EBIT Per Share</t>
  </si>
  <si>
    <t>Calculations</t>
  </si>
  <si>
    <t>Values</t>
  </si>
  <si>
    <t>g</t>
  </si>
  <si>
    <t>Value Of Firm (Per Share)</t>
  </si>
  <si>
    <t>Value OF Firm (EVA)</t>
  </si>
  <si>
    <t>2022-2024</t>
  </si>
  <si>
    <t>Period</t>
  </si>
  <si>
    <t>Source:Investing.com</t>
  </si>
  <si>
    <t>Last Price</t>
  </si>
  <si>
    <t>Market Cap ($ mn)</t>
  </si>
  <si>
    <t>Sales ($ mn)</t>
  </si>
  <si>
    <t>Net Profit ($ mn)</t>
  </si>
  <si>
    <t>Total Assets ($ mn)</t>
  </si>
  <si>
    <t>Mastercard</t>
  </si>
  <si>
    <t>Visa</t>
  </si>
  <si>
    <t>American Express</t>
  </si>
  <si>
    <t>PayPal</t>
  </si>
  <si>
    <t>Global Payments</t>
  </si>
  <si>
    <t>Rating Grid</t>
  </si>
  <si>
    <t>Take Average of Five Years for the GRID Rating</t>
  </si>
  <si>
    <t xml:space="preserve">Credit Rating </t>
  </si>
  <si>
    <t xml:space="preserve">AAA </t>
  </si>
  <si>
    <t xml:space="preserve">AA </t>
  </si>
  <si>
    <t xml:space="preserve">A </t>
  </si>
  <si>
    <t xml:space="preserve">BBB </t>
  </si>
  <si>
    <t xml:space="preserve">Operating Margin </t>
  </si>
  <si>
    <t xml:space="preserve">Debt / EBITDA </t>
  </si>
  <si>
    <t xml:space="preserve">1.3 X </t>
  </si>
  <si>
    <t xml:space="preserve">1.8 X </t>
  </si>
  <si>
    <t xml:space="preserve">2.2 X </t>
  </si>
  <si>
    <t xml:space="preserve">2.5 X </t>
  </si>
  <si>
    <t xml:space="preserve">EBITDA / Interest </t>
  </si>
  <si>
    <t xml:space="preserve">25.0x </t>
  </si>
  <si>
    <t xml:space="preserve">20.0 x </t>
  </si>
  <si>
    <t xml:space="preserve">17.5 x </t>
  </si>
  <si>
    <t xml:space="preserve">15.0 x </t>
  </si>
  <si>
    <t xml:space="preserve">FCF / Debt </t>
  </si>
  <si>
    <t xml:space="preserve">Debt / Capital </t>
  </si>
  <si>
    <t xml:space="preserve">Particulars </t>
  </si>
  <si>
    <t>AVERAGE</t>
  </si>
  <si>
    <t>RATING</t>
  </si>
  <si>
    <t xml:space="preserve">EBIDTA </t>
  </si>
  <si>
    <t xml:space="preserve">FCF after Dividends </t>
  </si>
  <si>
    <t xml:space="preserve">Debt / EBIT </t>
  </si>
  <si>
    <t xml:space="preserve">FCF / DEBT </t>
  </si>
  <si>
    <t xml:space="preserve">DEBT / Capital </t>
  </si>
  <si>
    <t>Year End</t>
  </si>
  <si>
    <t>Operational &amp; Financial Ratios</t>
  </si>
  <si>
    <t>Retention Ratio</t>
  </si>
  <si>
    <t>Gross Margin</t>
  </si>
  <si>
    <t>ROE</t>
  </si>
  <si>
    <t>PAT / Sales</t>
  </si>
  <si>
    <t>Equity Multiplier</t>
  </si>
  <si>
    <t>Computation Formula</t>
  </si>
  <si>
    <t>Earnings Per Share (Rs)</t>
  </si>
  <si>
    <t>ROE (%)</t>
  </si>
  <si>
    <t>ROA (%)</t>
  </si>
  <si>
    <t>Total Debt Ratio</t>
  </si>
  <si>
    <t>Tax Ratio</t>
  </si>
  <si>
    <t>PAT / PBT</t>
  </si>
  <si>
    <t>Financial Leverage</t>
  </si>
  <si>
    <t>PBT / EBIT</t>
  </si>
  <si>
    <t>OPM</t>
  </si>
  <si>
    <t>Total Asset Turnover</t>
  </si>
  <si>
    <t>Leverage</t>
  </si>
  <si>
    <t>Extended Dupont</t>
  </si>
  <si>
    <t>Operating Income / Sales</t>
  </si>
  <si>
    <t>Debt to Capital</t>
  </si>
  <si>
    <t>Debt to EBITDA</t>
  </si>
  <si>
    <t>Credit Ratios</t>
  </si>
  <si>
    <t>Coverage Ratios</t>
  </si>
  <si>
    <t>Market Price</t>
  </si>
  <si>
    <t>Price to Sales</t>
  </si>
  <si>
    <t>MV of Debt</t>
  </si>
  <si>
    <t>MV of Equity</t>
  </si>
  <si>
    <t>Cash</t>
  </si>
  <si>
    <t>Current Ratio</t>
  </si>
  <si>
    <t>Cash Ratio</t>
  </si>
  <si>
    <t>Liquidity Ratios</t>
  </si>
  <si>
    <t>PAT/Number of Shares</t>
  </si>
  <si>
    <t>DPS(Rs)</t>
  </si>
  <si>
    <t>Dividend/Number of Shares</t>
  </si>
  <si>
    <t>Book Value Per share</t>
  </si>
  <si>
    <t>Share holders Equity/Number of Shares</t>
  </si>
  <si>
    <t>Effective Tax Rate(%)</t>
  </si>
  <si>
    <t>Tax/PBT</t>
  </si>
  <si>
    <t>Dividend Pay Out Ratio(%)</t>
  </si>
  <si>
    <t>DPS/EPS</t>
  </si>
  <si>
    <t>Margin/Profitability Ratios</t>
  </si>
  <si>
    <t>Gross Profit/Net Sales</t>
  </si>
  <si>
    <t>PAT/Share Holders Equity</t>
  </si>
  <si>
    <t>EBIDTA Margin</t>
  </si>
  <si>
    <t>EBIDTA / Net Sales</t>
  </si>
  <si>
    <t>EBIT Margin(%)</t>
  </si>
  <si>
    <t>PBIT/Net Sales</t>
  </si>
  <si>
    <t>PAT Margin (%) (Net Profit Margin)</t>
  </si>
  <si>
    <t>PAT/Net Sales</t>
  </si>
  <si>
    <t>PAT/Total Assets</t>
  </si>
  <si>
    <t>Growth Ratio</t>
  </si>
  <si>
    <t>Net Sales Growth(%)</t>
  </si>
  <si>
    <t>(Sales of Current Year - Sales of Previous Year)/Sales of Previous Year</t>
  </si>
  <si>
    <t>Operating Profit Growth(%)</t>
  </si>
  <si>
    <t>(Current Op Profit - Previous Year Op Profit)/Previous Year Op Profit</t>
  </si>
  <si>
    <t>PAT Growth(%)</t>
  </si>
  <si>
    <t xml:space="preserve">Growth in PAT </t>
  </si>
  <si>
    <t>EPS Growth(%)</t>
  </si>
  <si>
    <t>Growth in EPS</t>
  </si>
  <si>
    <t>Solvency Ratios/Capital Structure</t>
  </si>
  <si>
    <t>Total Debt/Equity(x)</t>
  </si>
  <si>
    <t>Total Debt/Total Equity</t>
  </si>
  <si>
    <t>Interest Cover(x) (Times Interest Earned)</t>
  </si>
  <si>
    <t>EBIT/Interest</t>
  </si>
  <si>
    <t>Debt/(Debt+Equity)</t>
  </si>
  <si>
    <t>Du Pont Analysis</t>
  </si>
  <si>
    <t>Net Profit margin</t>
  </si>
  <si>
    <t>Assets/Equity</t>
  </si>
  <si>
    <t>EBIT / Net Sales</t>
  </si>
  <si>
    <t>Total Assets / Networth</t>
  </si>
  <si>
    <t>EBIDTA / Interest Expense</t>
  </si>
  <si>
    <t>EBIT / Interest Expense</t>
  </si>
  <si>
    <t xml:space="preserve">Valuation Ratios </t>
  </si>
  <si>
    <t>Price Per Share/EPS</t>
  </si>
  <si>
    <t>MVA or Enterprise Value</t>
  </si>
  <si>
    <t>EV/EBIDTA</t>
  </si>
  <si>
    <t>% Change in PAT/% Change in EBIT</t>
  </si>
  <si>
    <t>Current Assets/Current Liabilities</t>
  </si>
  <si>
    <t>Quick Ratio (Acid Test)</t>
  </si>
  <si>
    <t>(CA-Inventory-Prepaid)/Current Liabilities</t>
  </si>
  <si>
    <t>Cash Ratio/Current Liabilities</t>
  </si>
  <si>
    <t>Operating Cash Flow to Total Debt</t>
  </si>
  <si>
    <t>CFO/Total Debt</t>
  </si>
  <si>
    <t>Year</t>
  </si>
  <si>
    <t>Total Dividend</t>
  </si>
  <si>
    <t>Dividend Per Share (DPS)</t>
  </si>
  <si>
    <t>PV of DPS</t>
  </si>
  <si>
    <t>Required Return (Ke)</t>
  </si>
  <si>
    <t>Long Term Growth (g)</t>
  </si>
  <si>
    <t>PV of Terminal Value</t>
  </si>
  <si>
    <t>Dividend Per Share</t>
  </si>
  <si>
    <t>Outstanding Shares</t>
  </si>
  <si>
    <t>Column1</t>
  </si>
  <si>
    <t>Column2</t>
  </si>
  <si>
    <t xml:space="preserve">Implied </t>
  </si>
  <si>
    <t>Intrinsic Value (DDM)</t>
  </si>
  <si>
    <t>Secured Debt</t>
  </si>
  <si>
    <t xml:space="preserve">Unsecured Debt </t>
  </si>
  <si>
    <t>Discount Factor</t>
  </si>
  <si>
    <t>Present Value of FCFF</t>
  </si>
  <si>
    <t>Terminal Value (after 2029)</t>
  </si>
  <si>
    <t>Enterprise Value (DCF)</t>
  </si>
  <si>
    <t>Equity Value</t>
  </si>
  <si>
    <t>Intrinsic Share Price</t>
  </si>
  <si>
    <t>Input</t>
  </si>
  <si>
    <t>Risk Free Rate</t>
  </si>
  <si>
    <t>Market Return</t>
  </si>
  <si>
    <t>Market Premium</t>
  </si>
  <si>
    <t>g \ Ke</t>
  </si>
  <si>
    <t>9%</t>
  </si>
  <si>
    <t>10%</t>
  </si>
  <si>
    <t>11%</t>
  </si>
  <si>
    <t>Cost of Equity Table</t>
  </si>
  <si>
    <t>sensitivity Table</t>
  </si>
  <si>
    <t>Method</t>
  </si>
  <si>
    <t>DDM</t>
  </si>
  <si>
    <t>EVA</t>
  </si>
  <si>
    <t>Final Fair Value Range</t>
  </si>
  <si>
    <t>Final Valuation Summary</t>
  </si>
  <si>
    <t>Start Growth</t>
  </si>
  <si>
    <t>Terminal Growth</t>
  </si>
  <si>
    <t>Forecast Years</t>
  </si>
  <si>
    <t>Assumptions</t>
  </si>
  <si>
    <t>Item</t>
  </si>
  <si>
    <t>G&amp;A %</t>
  </si>
  <si>
    <t>Marketing %</t>
  </si>
  <si>
    <t>Depreciation %</t>
  </si>
  <si>
    <t>Capex %</t>
  </si>
  <si>
    <t>Working Capital %</t>
  </si>
  <si>
    <t>Cash % of Assets</t>
  </si>
  <si>
    <t>Interest Rate</t>
  </si>
  <si>
    <t>EBIT Margin</t>
  </si>
  <si>
    <t>Dep % of Revenue</t>
  </si>
  <si>
    <t>Capex % of Revenue</t>
  </si>
  <si>
    <t>Working Capital % of Revenue</t>
  </si>
  <si>
    <t>FCFE Growth (if used)</t>
  </si>
  <si>
    <t>Actual</t>
  </si>
  <si>
    <t>–</t>
  </si>
  <si>
    <t>Terminal</t>
  </si>
  <si>
    <t>Stable</t>
  </si>
  <si>
    <t>EBIT Growth</t>
  </si>
  <si>
    <t>Dep Growth</t>
  </si>
  <si>
    <t>Capex Growth</t>
  </si>
  <si>
    <t>WC Growth</t>
  </si>
  <si>
    <t>Cost of Equity (Ke) (CAPM)</t>
  </si>
  <si>
    <t>TV % of EV</t>
  </si>
  <si>
    <t>WACC Used</t>
  </si>
  <si>
    <t>Terminal Growth Rate Used</t>
  </si>
  <si>
    <t>3-4%</t>
  </si>
  <si>
    <t>Index Return</t>
  </si>
  <si>
    <t>Stock Return</t>
  </si>
  <si>
    <t>AAA</t>
  </si>
  <si>
    <t>AA</t>
  </si>
  <si>
    <t>2020-2024</t>
  </si>
  <si>
    <t>2025-2029</t>
  </si>
  <si>
    <t>Historicals</t>
  </si>
  <si>
    <t>Projections</t>
  </si>
  <si>
    <t>MASTERCARD FINANCIAL MODEL – EXECUTIVE SUMMARY</t>
  </si>
  <si>
    <t>Payment Technology</t>
  </si>
  <si>
    <t>Forecast Period</t>
  </si>
  <si>
    <t>Valuation Methods</t>
  </si>
  <si>
    <t>Company Overview:</t>
  </si>
  <si>
    <t>Financial Highlights</t>
  </si>
  <si>
    <t>Company Name</t>
  </si>
  <si>
    <t>Metric</t>
  </si>
  <si>
    <t>Revenue</t>
  </si>
  <si>
    <t>Net Profit</t>
  </si>
  <si>
    <t>Operating Margin</t>
  </si>
  <si>
    <t>Growth &amp; Profitability</t>
  </si>
  <si>
    <t>Revenue CAGR</t>
  </si>
  <si>
    <t>EPS CAGR</t>
  </si>
  <si>
    <t>Valuation Summary</t>
  </si>
  <si>
    <t>Intrinsic Value</t>
  </si>
  <si>
    <t>Investment Decision</t>
  </si>
  <si>
    <t>Current Market Price</t>
  </si>
  <si>
    <t>Upside/Downside</t>
  </si>
  <si>
    <t>Recommendation</t>
  </si>
  <si>
    <t>Average ROE</t>
  </si>
  <si>
    <t>Average Operating Margin</t>
  </si>
  <si>
    <t>Ratio Analysis of Mastercard Inc</t>
  </si>
  <si>
    <t>Total Debt / Total Equity</t>
  </si>
  <si>
    <t>N/A</t>
  </si>
  <si>
    <t>Market Cap / Shareholders Equity</t>
  </si>
  <si>
    <t>Total Debt / (Total Debt + networth)</t>
  </si>
  <si>
    <t>EBITDA/ Debt</t>
  </si>
  <si>
    <t>EBITDA / Total Debt</t>
  </si>
  <si>
    <t>Debt / EBITDA</t>
  </si>
  <si>
    <t>Price to Book Value</t>
  </si>
  <si>
    <t>1-Dividend Payout Ratio</t>
  </si>
  <si>
    <t>Column3</t>
  </si>
  <si>
    <t>Column4</t>
  </si>
  <si>
    <t>Column5</t>
  </si>
  <si>
    <t>Column6</t>
  </si>
  <si>
    <t>Column7</t>
  </si>
  <si>
    <t>Column8</t>
  </si>
  <si>
    <t>Column9</t>
  </si>
  <si>
    <t>Column10</t>
  </si>
  <si>
    <t>Column11</t>
  </si>
  <si>
    <t>Column12</t>
  </si>
  <si>
    <t>Column13</t>
  </si>
  <si>
    <t>Model Sheet Linkage</t>
  </si>
  <si>
    <t>2.Data Balance</t>
  </si>
  <si>
    <t>3.Income Statement Projections</t>
  </si>
  <si>
    <t>4.Balance Sheet Projections</t>
  </si>
  <si>
    <t>6.Common Size</t>
  </si>
  <si>
    <t>7.Data Industry</t>
  </si>
  <si>
    <t>9.Industry Income Statement</t>
  </si>
  <si>
    <t>10.Industry Balance Sheet</t>
  </si>
  <si>
    <t>13.Regression</t>
  </si>
  <si>
    <t>15.Competiton</t>
  </si>
  <si>
    <t>16.Credit Ratio</t>
  </si>
  <si>
    <t>17. Ratio</t>
  </si>
  <si>
    <t>Key Insights</t>
  </si>
  <si>
    <t>Click the Titles</t>
  </si>
  <si>
    <t>5.Cash Flow Projections</t>
  </si>
  <si>
    <t>Net Revenue / Total Revenue</t>
  </si>
  <si>
    <t>Equity Investment Gains/Losses</t>
  </si>
  <si>
    <t>Total Other Income (Expense)</t>
  </si>
  <si>
    <t>Income Before Taxes</t>
  </si>
  <si>
    <t>Net Income (Industry Total)</t>
  </si>
  <si>
    <t>Basic EPS</t>
  </si>
  <si>
    <t>Diluted EPS</t>
  </si>
  <si>
    <t>Operating Maargin</t>
  </si>
  <si>
    <t>Restricted Cash</t>
  </si>
  <si>
    <t>Settlement / Customer Assets</t>
  </si>
  <si>
    <t>Other Current Assets</t>
  </si>
  <si>
    <t>Property &amp; Equipment</t>
  </si>
  <si>
    <t>Deferred Tax Assets</t>
  </si>
  <si>
    <t>Short-Term Debt</t>
  </si>
  <si>
    <t>Other Liabilities</t>
  </si>
  <si>
    <t>Equity</t>
  </si>
  <si>
    <t>Paid-in Capital</t>
  </si>
  <si>
    <t>Treasury Stock</t>
  </si>
  <si>
    <t>Retained Earnings</t>
  </si>
  <si>
    <t>AOCI</t>
  </si>
  <si>
    <t>Non-controlling Interest</t>
  </si>
  <si>
    <t>Operating Cash Flow</t>
  </si>
  <si>
    <t>Share-based Compensation</t>
  </si>
  <si>
    <t>Deferred Income Taxes</t>
  </si>
  <si>
    <t>Other Non-cash Adjustments</t>
  </si>
  <si>
    <t>Working Capital Changes</t>
  </si>
  <si>
    <t>Net Cash from Operating Activities</t>
  </si>
  <si>
    <t>Investing Cash Flow</t>
  </si>
  <si>
    <t>Purchases of Investments</t>
  </si>
  <si>
    <t>Proceeds from Investments</t>
  </si>
  <si>
    <t>Capital Expenditures</t>
  </si>
  <si>
    <t>Acquisitions</t>
  </si>
  <si>
    <t>Equity Investments</t>
  </si>
  <si>
    <t>Other Investing Activities</t>
  </si>
  <si>
    <t>Net Cash From Investing Activities</t>
  </si>
  <si>
    <t>Financing Cash Flow</t>
  </si>
  <si>
    <t>Share Repurchases</t>
  </si>
  <si>
    <t>Net Debt Issued (Repaid)</t>
  </si>
  <si>
    <t>Stock Option Proceeds</t>
  </si>
  <si>
    <t>Other Financing Activities</t>
  </si>
  <si>
    <t>Net Cash from Financing Activities</t>
  </si>
  <si>
    <t>Cash Movement</t>
  </si>
  <si>
    <t>Net Change in Cash</t>
  </si>
  <si>
    <t>Beginning Cash Balance</t>
  </si>
  <si>
    <t>Ending Cash Balance</t>
  </si>
  <si>
    <t xml:space="preserve">12 Months Ended       </t>
  </si>
  <si>
    <t>12 Months Ended       2</t>
  </si>
  <si>
    <t>12 Months Ended       3</t>
  </si>
  <si>
    <t>12 Months Ended       4</t>
  </si>
  <si>
    <t xml:space="preserve">12 Months Ended </t>
  </si>
  <si>
    <t>Dec. 31, 2020</t>
  </si>
  <si>
    <t>Dec. 31, 2021</t>
  </si>
  <si>
    <t>Dec. 31, 2022</t>
  </si>
  <si>
    <t>Dec. 31, 2023</t>
  </si>
  <si>
    <t>Dec. 31, 2024</t>
  </si>
  <si>
    <t>Sources:SEC EDGAR Data Bases</t>
  </si>
  <si>
    <t>Visa inc</t>
  </si>
  <si>
    <t xml:space="preserve">Visa Inc </t>
  </si>
  <si>
    <t>12 Months Ended</t>
  </si>
  <si>
    <t>CONSOLIDATED STATEMENTS OF OPERATIONS - USD ($) shares in Millions, $ in Millions</t>
  </si>
  <si>
    <t>Particulars</t>
  </si>
  <si>
    <t>Sep. 30, 2024</t>
  </si>
  <si>
    <t>Sep. 30, 2023</t>
  </si>
  <si>
    <t>Sep. 30, 2022</t>
  </si>
  <si>
    <t>Sep. 30, 2021</t>
  </si>
  <si>
    <t>Sep. 30, 2020</t>
  </si>
  <si>
    <t>Restricted cash equivalents—U.S. litigation escrow</t>
  </si>
  <si>
    <t>Investment securities</t>
  </si>
  <si>
    <t>Personnel</t>
  </si>
  <si>
    <t>Settlement receivable</t>
  </si>
  <si>
    <t>Marketing</t>
  </si>
  <si>
    <t>Network and processing</t>
  </si>
  <si>
    <t>Customer collateral</t>
  </si>
  <si>
    <t>Professional fees</t>
  </si>
  <si>
    <t>Current portion of client incentives</t>
  </si>
  <si>
    <t>Litigation provision</t>
  </si>
  <si>
    <t>Client incentives</t>
  </si>
  <si>
    <t>Property, equipment and technology, net</t>
  </si>
  <si>
    <t>Non-operating Income (Expense)</t>
  </si>
  <si>
    <t>Intangible assets, net</t>
  </si>
  <si>
    <t>Investment income (expense) and other</t>
  </si>
  <si>
    <t>Total assets</t>
  </si>
  <si>
    <t>Total non-operating income (expense)</t>
  </si>
  <si>
    <t>Income tax provision</t>
  </si>
  <si>
    <t>Settlement payable</t>
  </si>
  <si>
    <t>Accrued compensation and benefits</t>
  </si>
  <si>
    <t>Class A common stock</t>
  </si>
  <si>
    <t>Accrued liabilities</t>
  </si>
  <si>
    <t>Earnings Per Share</t>
  </si>
  <si>
    <t>Current maturities of debt</t>
  </si>
  <si>
    <t>Basic earnings per share (in dollars per share)</t>
  </si>
  <si>
    <t>Basic weighted-average shares outstanding (in shares)</t>
  </si>
  <si>
    <t>Diluted earnings per share (in dollars per share)</t>
  </si>
  <si>
    <t>Diluted weighted-average shares outstanding (in shares)</t>
  </si>
  <si>
    <t>Deferred tax liabilities</t>
  </si>
  <si>
    <t>Class B-1 common stock</t>
  </si>
  <si>
    <t>Total liabilities</t>
  </si>
  <si>
    <t>Commitments and contingencies (Note 18 and Note 20)</t>
  </si>
  <si>
    <t>Preferred stock</t>
  </si>
  <si>
    <t>Common stock and additional paid-in capital</t>
  </si>
  <si>
    <t>Class B-2 common stock</t>
  </si>
  <si>
    <t>Right to recover for covered losses</t>
  </si>
  <si>
    <t>Accumulated income</t>
  </si>
  <si>
    <t>Accumulated other comprehensive income (loss):</t>
  </si>
  <si>
    <t>Defined benefit pension and other postretirement plans</t>
  </si>
  <si>
    <t>Derivative instruments</t>
  </si>
  <si>
    <t>Foreign currency translation adjustments</t>
  </si>
  <si>
    <t>Class C common stock</t>
  </si>
  <si>
    <t>Total accumulated other comprehensive income (loss)</t>
  </si>
  <si>
    <t>Total equity</t>
  </si>
  <si>
    <t>Total liabilities and equity</t>
  </si>
  <si>
    <t>Accumulated other comprehensive income (loss), net:</t>
  </si>
  <si>
    <t>Total accumulated other comprehensive income (loss), net</t>
  </si>
  <si>
    <t>Commitments and contingencies (Note 18)</t>
  </si>
  <si>
    <t>Additional paid-in capital</t>
  </si>
  <si>
    <t>Series A convertible participating preferred stock</t>
  </si>
  <si>
    <t>Series B convertible participating preferred stock</t>
  </si>
  <si>
    <t>Series C convertible participating preferred stock</t>
  </si>
  <si>
    <t>Class A common stock</t>
  </si>
  <si>
    <t>Common stock</t>
  </si>
  <si>
    <t>Class B common stock</t>
  </si>
  <si>
    <t>American Express Company</t>
  </si>
  <si>
    <t xml:space="preserve">American Express Company </t>
  </si>
  <si>
    <t>Consolidated Statements of Income - USD ($) shares in Millions, $ in Millions</t>
  </si>
  <si>
    <t>Consolidated Balance Sheets - USD ($) $ in Millions</t>
  </si>
  <si>
    <t>Non-interest revenues</t>
  </si>
  <si>
    <t>Cash and due from banks (includes restricted cash of consolidated variable interest entities: 2024, $6; 2023, nil)</t>
  </si>
  <si>
    <t>Total non-interest revenues</t>
  </si>
  <si>
    <t>Interest-bearing deposits in other banks</t>
  </si>
  <si>
    <t>Interest income</t>
  </si>
  <si>
    <t>Short-term investment securities (includes restricted investments of consolidated variable interest entities: 2024, $82; 2023, $66)</t>
  </si>
  <si>
    <t>Interest on loans</t>
  </si>
  <si>
    <t>Total cash and cash equivalents (includes restricted cash: 2024, $427; 2023, $514)</t>
  </si>
  <si>
    <t>Interest and dividends on investment securities</t>
  </si>
  <si>
    <t>Deposits with banks and other</t>
  </si>
  <si>
    <t>Premises and equipment, less accumulated depreciation and amortization: 2024, $10,739; 2023, $9,911</t>
  </si>
  <si>
    <t>Total interest income</t>
  </si>
  <si>
    <t>Other assets, less reserves for credit losses: 2024, $27; 2023, $27</t>
  </si>
  <si>
    <t>Deposits</t>
  </si>
  <si>
    <t>Long-term debt and other</t>
  </si>
  <si>
    <t>Customer deposits</t>
  </si>
  <si>
    <t>Total interest expense</t>
  </si>
  <si>
    <t>Net interest income</t>
  </si>
  <si>
    <t>Short-term borrowings</t>
  </si>
  <si>
    <t>Total revenues net of interest expense</t>
  </si>
  <si>
    <t>Long-term debt (includes debt issued by consolidated variable interest entities: 2024, $13,880; 2023, $13,426)</t>
  </si>
  <si>
    <t>Provisions for credit losses</t>
  </si>
  <si>
    <t>Total revenues net of interest expense after provisions for credit losses</t>
  </si>
  <si>
    <t>Contingencies and Commitments (Note 12)</t>
  </si>
  <si>
    <t>Expenses</t>
  </si>
  <si>
    <t>Shareholders’ Equity</t>
  </si>
  <si>
    <t>Card Member rewards</t>
  </si>
  <si>
    <t>Preferred shares, $1.662/3 par value, authorized 20 million shares; issued and outstanding 1,600 shares as of December 31, 2024 and 2023 (Note 16)</t>
  </si>
  <si>
    <t>Business development</t>
  </si>
  <si>
    <t>Common shares, $0.20 par value, authorized 3.6 billion shares; issued and outstanding 702 million shares as of December 31, 2024 and 723 million shares as of December 31, 2023</t>
  </si>
  <si>
    <t>Card Member services</t>
  </si>
  <si>
    <t>Salaries and employee benefits</t>
  </si>
  <si>
    <t>Other, net</t>
  </si>
  <si>
    <t>Total shareholders’ equity</t>
  </si>
  <si>
    <t>Total expenses</t>
  </si>
  <si>
    <t>Total liabilities and shareholders’ equity</t>
  </si>
  <si>
    <t>Pretax income</t>
  </si>
  <si>
    <t>Card Member receivables</t>
  </si>
  <si>
    <t>Financing receivables, net</t>
  </si>
  <si>
    <t>Earnings per Common Share</t>
  </si>
  <si>
    <t>Card Member loans</t>
  </si>
  <si>
    <t>Basic (in dollars per share)</t>
  </si>
  <si>
    <t>Diluted (in dollars per share)</t>
  </si>
  <si>
    <t>Average common shares outstanding for earnings per common share:</t>
  </si>
  <si>
    <t>Financing receivables held for sale</t>
  </si>
  <si>
    <t>Basic (in shares)</t>
  </si>
  <si>
    <t>Other Loans</t>
  </si>
  <si>
    <t>Diluted (in shares)</t>
  </si>
  <si>
    <t>Discount revenue</t>
  </si>
  <si>
    <t>Net card fees</t>
  </si>
  <si>
    <t>Service fees and other revenue</t>
  </si>
  <si>
    <t>Processed revenue</t>
  </si>
  <si>
    <t>Paypal Holdings Inc</t>
  </si>
  <si>
    <t>CONSOLIDATED STATEMENTS OF INCOME (LOSS) - USD ($) shares in Millions, $ in Millions</t>
  </si>
  <si>
    <t>Short-term investments</t>
  </si>
  <si>
    <t>Net revenues</t>
  </si>
  <si>
    <t>Accounts receivable, net</t>
  </si>
  <si>
    <t>Operating expenses:</t>
  </si>
  <si>
    <t>Loans and interest receivable, net of allowances of $598 and $491 as of December 31, 2022 and 2021, respectively</t>
  </si>
  <si>
    <t>Transaction expense</t>
  </si>
  <si>
    <t>Funds receivable and customer accounts</t>
  </si>
  <si>
    <t>Transaction and credit losses</t>
  </si>
  <si>
    <t>Customer support and operations</t>
  </si>
  <si>
    <t>Sales and marketing</t>
  </si>
  <si>
    <t>Long-term investments</t>
  </si>
  <si>
    <t>Technology and development</t>
  </si>
  <si>
    <t>Property and equipment, net</t>
  </si>
  <si>
    <t>Restructuring and other</t>
  </si>
  <si>
    <t>Current liabilities:</t>
  </si>
  <si>
    <t>Funds payable and amounts due to customers</t>
  </si>
  <si>
    <t>Net income (loss)</t>
  </si>
  <si>
    <t>Accrued expenses and other current liabilities</t>
  </si>
  <si>
    <t>Net income (loss) per share:</t>
  </si>
  <si>
    <t>Income taxes payable</t>
  </si>
  <si>
    <t>Deferred tax liability and other long-term liabilities</t>
  </si>
  <si>
    <t>Weighted average shares:</t>
  </si>
  <si>
    <t>Equity:</t>
  </si>
  <si>
    <t>Common stock, $0.0001 par value; 4,000 shares authorized; 1,136 and 1,168 shares outstanding as of December 31, 2022 and 2021, respectively</t>
  </si>
  <si>
    <t>Preferred stock, $0.0001 par value; 100 shares authorized, unissued</t>
  </si>
  <si>
    <t>Treasury stock at cost, 173 and 132 shares as of December 31, 2022 and 2021, respectively</t>
  </si>
  <si>
    <t>Loans and interest receivable, net of allowances of $838 and $258 as of December 31, 2020 and 2019, respectively</t>
  </si>
  <si>
    <t>Common stock, $0.0001 par value; 4,000 shares authorized; 1,172 and 1,173 shares outstanding as of December 31, 2020 and 2019, respectively</t>
  </si>
  <si>
    <t>Treasury stock at cost, 117 and 105 shares as of December 31, 2020 and 2019, respectively</t>
  </si>
  <si>
    <t>Total PayPal Stockholders’ equity</t>
  </si>
  <si>
    <t>Noncontrolling interest</t>
  </si>
  <si>
    <t>Loans and interest receivable, net of allowances of $491 and $838 as of December 31, 2021 and 2020, respectively</t>
  </si>
  <si>
    <t>Common stock, $0.0001 par value; 4,000 shares authorized; 1,168 and 1,172 shares outstanding as of December 31, 2021 and 2020, respectively</t>
  </si>
  <si>
    <t>Treasury stock at cost, 132 and 117 shares as of December 31, 2021 and 2020, respectively</t>
  </si>
  <si>
    <t>Total PayPal stockholders’ equity</t>
  </si>
  <si>
    <t>Loans and interest receivable, held for sale</t>
  </si>
  <si>
    <t>Loans and interest receivable, net of allowances of $461 and $540 as of December 31, 2024 and 2023, respectively</t>
  </si>
  <si>
    <t>Other long-term liabilities</t>
  </si>
  <si>
    <t>Common stock, $0.0001 par value; 4,000 shares authorized; 993 and 1,072 shares outstanding as of December 31, 2024 and 2023, respectively</t>
  </si>
  <si>
    <t>Treasury stock at cost, 337 and 245 shares as of December 31, 2024 and 2023, respectively</t>
  </si>
  <si>
    <t>Block inc</t>
  </si>
  <si>
    <t>CONSOLIDATED STATEMENTS OF OPERATIONS - USD ($) shares in Thousands, $ in Thousands</t>
  </si>
  <si>
    <t>Dec 31, 2024</t>
  </si>
  <si>
    <t>Dec 31, 2023</t>
  </si>
  <si>
    <t>Dec 31, 2022</t>
  </si>
  <si>
    <t>Dec 31, 2021</t>
  </si>
  <si>
    <t>Dec 31, 2020</t>
  </si>
  <si>
    <t>Amortization of acquired technology assets</t>
  </si>
  <si>
    <t>Investments in short-term debt securities</t>
  </si>
  <si>
    <t>Total cost of revenue</t>
  </si>
  <si>
    <t>Settlements receivable</t>
  </si>
  <si>
    <t>Gross profit</t>
  </si>
  <si>
    <t>Customer funds</t>
  </si>
  <si>
    <t>Product development</t>
  </si>
  <si>
    <t>Loans held for sale</t>
  </si>
  <si>
    <t>Other current assets</t>
  </si>
  <si>
    <t>Transaction, loan, and consumer receivable losses</t>
  </si>
  <si>
    <t>Bitcoin impairment losses</t>
  </si>
  <si>
    <t>Amortization of customer and other acquired intangible assets</t>
  </si>
  <si>
    <t>Acquired intangible assets, net</t>
  </si>
  <si>
    <t>Investments in long-term debt securities</t>
  </si>
  <si>
    <t>Operating income (loss)</t>
  </si>
  <si>
    <t>Operating lease right-of-use assets</t>
  </si>
  <si>
    <t>Interest expense (income), net</t>
  </si>
  <si>
    <t>Other non-current assets</t>
  </si>
  <si>
    <t>Remeasurement gain on bitcoin investment</t>
  </si>
  <si>
    <t>Other expense (income), net</t>
  </si>
  <si>
    <t>Customers payable</t>
  </si>
  <si>
    <t>Income (loss) before income tax</t>
  </si>
  <si>
    <t>Benefit for income taxes</t>
  </si>
  <si>
    <t>Warehouse funding facilities, current</t>
  </si>
  <si>
    <t>Net Income Attributable to Noncontrolling Interest</t>
  </si>
  <si>
    <t>Warehouse funding facilities, non-current</t>
  </si>
  <si>
    <t>Net income attributable to common stockholders</t>
  </si>
  <si>
    <t>Operating lease liabilities, non-current</t>
  </si>
  <si>
    <t>Basic EPS (USD)</t>
  </si>
  <si>
    <t>Other non-current liabilities</t>
  </si>
  <si>
    <t>Diluted EPS (USD)</t>
  </si>
  <si>
    <t>Basic shares (thousands)</t>
  </si>
  <si>
    <t>Diluted shares (thousands)</t>
  </si>
  <si>
    <t>Accumulated other comprehensive loss</t>
  </si>
  <si>
    <t>Transaction-based revenue</t>
  </si>
  <si>
    <t>Total stockholders' equity attributable to common stockholders</t>
  </si>
  <si>
    <t>Transaction-based cost of revenue</t>
  </si>
  <si>
    <t>Noncontrolling interests</t>
  </si>
  <si>
    <t>Subscription &amp; services revenue</t>
  </si>
  <si>
    <t>Total stockholders' equity</t>
  </si>
  <si>
    <t>Subscription &amp; services cost of revenue</t>
  </si>
  <si>
    <t>Total liabilities and stockholders' equity</t>
  </si>
  <si>
    <t>Hardware revenue</t>
  </si>
  <si>
    <t>Consumer receivables, net</t>
  </si>
  <si>
    <t>Hardware cost of revenue</t>
  </si>
  <si>
    <t>Deferred tax assets</t>
  </si>
  <si>
    <t>Bitcoin revenue</t>
  </si>
  <si>
    <t>Bitcoin cost of revenue</t>
  </si>
  <si>
    <t>Retained earnings (accumulated deficit)</t>
  </si>
  <si>
    <t>Operating lease liabilities, current</t>
  </si>
  <si>
    <t>Accumulated other comprehensive income</t>
  </si>
  <si>
    <t>Global Payments Inc</t>
  </si>
  <si>
    <t>CONSOLIDATED STATEMENTS OF INCOME - USD ($) $ in Thousands</t>
  </si>
  <si>
    <t>Revenues</t>
  </si>
  <si>
    <t>Cost of service</t>
  </si>
  <si>
    <t>Selling, general and administrative</t>
  </si>
  <si>
    <t>Settlement processing assets</t>
  </si>
  <si>
    <t>Impairment of goodwill</t>
  </si>
  <si>
    <t>Net (gain) loss on business dispositions</t>
  </si>
  <si>
    <t>Total costs and expenses</t>
  </si>
  <si>
    <t>Interest and other income</t>
  </si>
  <si>
    <t>Interest and other expense</t>
  </si>
  <si>
    <t>Total nonoperating income (expense)</t>
  </si>
  <si>
    <t>Other noncurrent assets</t>
  </si>
  <si>
    <t>Income before income taxes and equity investments</t>
  </si>
  <si>
    <t>Settlement lines of credit</t>
  </si>
  <si>
    <t>Income before equity investments</t>
  </si>
  <si>
    <t>Equity in income of equity method investments</t>
  </si>
  <si>
    <t>Accounts payable and accrued liabilities</t>
  </si>
  <si>
    <t>Settlement processing obligations</t>
  </si>
  <si>
    <t>Net income attributable to noncontrolling interests</t>
  </si>
  <si>
    <t>Net income attributable to Global Payments</t>
  </si>
  <si>
    <t>Other noncurrent liabilities</t>
  </si>
  <si>
    <t>Paid-in capital</t>
  </si>
  <si>
    <t>Total Global Payments shareholders’ equity</t>
  </si>
  <si>
    <t>Current assets held for sale</t>
  </si>
  <si>
    <t>Noncurrent assets held for sale</t>
  </si>
  <si>
    <t>Notes receivable</t>
  </si>
  <si>
    <t>Current liabilities held for sale</t>
  </si>
  <si>
    <t>Noncurrent liabilities held for sale</t>
  </si>
  <si>
    <t>Redeemable noncontrolling interests</t>
  </si>
  <si>
    <t>Nonredeemable noncontrolling interests</t>
  </si>
  <si>
    <t>Total liabilities, redeemable noncontrolling interests and equity</t>
  </si>
  <si>
    <t>Calculated from Ind dump</t>
  </si>
  <si>
    <t>G&amp;A Growth</t>
  </si>
  <si>
    <t>Depreciation Growth</t>
  </si>
  <si>
    <t>Litigation Growth</t>
  </si>
  <si>
    <t>Investment Income Growth</t>
  </si>
  <si>
    <t>Interest Expense Growth</t>
  </si>
  <si>
    <t>Share Buyback</t>
  </si>
  <si>
    <t>Marketing % of Revenue</t>
  </si>
  <si>
    <t>Accounts Receivable Growth</t>
  </si>
  <si>
    <t>Settlement Assets Growth</t>
  </si>
  <si>
    <t>Prepaid Assets Growth</t>
  </si>
  <si>
    <t>Accounts Payable Growth</t>
  </si>
  <si>
    <t>Accrued Expenses Growth</t>
  </si>
  <si>
    <t>Other Assets Growth</t>
  </si>
  <si>
    <t>Working Capital Assumption</t>
  </si>
  <si>
    <t>Free Cash Flow</t>
  </si>
  <si>
    <t>Total Cash</t>
  </si>
  <si>
    <t>Cost of Debt</t>
  </si>
  <si>
    <t>Opex Expansion Model</t>
  </si>
  <si>
    <t>Operating expenses decline due to operating leverage and automation efficiency.</t>
  </si>
  <si>
    <t>Opex %</t>
  </si>
  <si>
    <t>Residual Income</t>
  </si>
  <si>
    <t>NOPAT</t>
  </si>
  <si>
    <t>BB</t>
  </si>
  <si>
    <t>Credit Ratios of Mastercard Inc</t>
  </si>
  <si>
    <t>11.Industry Cash Flow</t>
  </si>
  <si>
    <t>12.Beta Calculation</t>
  </si>
  <si>
    <t>Mastercard Consolidated Statement of Operations - USD ($) shares in Millions, $ in Millions</t>
  </si>
  <si>
    <t>Mastercard Consolidated Balance Sheet - USD ($) $ in Millions</t>
  </si>
  <si>
    <t>DCF Valuation of Mastercard inc</t>
  </si>
  <si>
    <t>A</t>
  </si>
  <si>
    <t>B</t>
  </si>
  <si>
    <t>Cost of Equity (CAPM)</t>
  </si>
  <si>
    <t>Equity Weight</t>
  </si>
  <si>
    <t>Debt Weight</t>
  </si>
  <si>
    <t>Market Risk Premium</t>
  </si>
  <si>
    <t>Timeline Headers</t>
  </si>
  <si>
    <t>Depreciation and Amortization</t>
  </si>
  <si>
    <t>Free Cash Flow to Firm</t>
  </si>
  <si>
    <t>Present Value FCFF</t>
  </si>
  <si>
    <t>Discount Terminal Value</t>
  </si>
  <si>
    <t>Net Debt</t>
  </si>
  <si>
    <t>DCF Fair Value(Intrinsic)</t>
  </si>
  <si>
    <t>Current Price</t>
  </si>
  <si>
    <t>Upside</t>
  </si>
  <si>
    <t>Cost of Equity</t>
  </si>
  <si>
    <t>Capital Structure</t>
  </si>
  <si>
    <t>Shares Outstanding</t>
  </si>
  <si>
    <t>Market Cap</t>
  </si>
  <si>
    <t>Capital Weights</t>
  </si>
  <si>
    <t>Sources</t>
  </si>
  <si>
    <t>Source</t>
  </si>
  <si>
    <t>US 10Y Treasury</t>
  </si>
  <si>
    <t>Long-term S&amp;P500</t>
  </si>
  <si>
    <t>Yahoo Finance</t>
  </si>
  <si>
    <t>DCF</t>
  </si>
  <si>
    <t>18.DCF Valuation</t>
  </si>
  <si>
    <t>19.WACC Calculation</t>
  </si>
  <si>
    <t>Target Price</t>
  </si>
  <si>
    <t>Final Investment Recommendation</t>
  </si>
  <si>
    <t>FCFF DCF Assumptions</t>
  </si>
  <si>
    <t>WC Calculation</t>
  </si>
  <si>
    <t>WC %</t>
  </si>
  <si>
    <t>Working Capital</t>
  </si>
  <si>
    <t>Δ Working Capital</t>
  </si>
  <si>
    <t>2024A</t>
  </si>
  <si>
    <t>Terminal Growth (g)</t>
  </si>
  <si>
    <t xml:space="preserve">FCFF (Enterprise Value) Calculation </t>
  </si>
  <si>
    <t>Capex</t>
  </si>
  <si>
    <t>Discounted FCFF</t>
  </si>
  <si>
    <t>Discount Factor (8.7%)</t>
  </si>
  <si>
    <t>PV FCFF</t>
  </si>
  <si>
    <t>Total PV FCFF</t>
  </si>
  <si>
    <t>Note: Mastercard distributes capital primarily through share buybacks rather than dividends; therefore DDM significantly understates intrinsic value and is excluded from target price calculation.</t>
  </si>
  <si>
    <t>Legacy DDM Check</t>
  </si>
  <si>
    <t>Growth In DDM</t>
  </si>
  <si>
    <t>Long Term Ke(DDM)</t>
  </si>
  <si>
    <t>Terminal value (DDM*(1+g)/(Ke-g))</t>
  </si>
  <si>
    <t>PV Of DDM</t>
  </si>
  <si>
    <t>Intrinsic Value Per Share (DDM)</t>
  </si>
  <si>
    <t>Mastercard Inc — DDM,FCFF,FCFE,Relative Valuation Model</t>
  </si>
  <si>
    <t>Dividend Discount Model (Reference only)</t>
  </si>
  <si>
    <t>Note: EVA undervalues asset-light fintech companies due to low invested capital base.</t>
  </si>
  <si>
    <t>14.DDM FCFF FCFE Relative Valuation</t>
  </si>
  <si>
    <t>DCF,FCFF,DDM,Relative Valuation</t>
  </si>
  <si>
    <t>Weight</t>
  </si>
  <si>
    <t>Weighted Value</t>
  </si>
  <si>
    <t>Final Target Price</t>
  </si>
  <si>
    <t>Competitors of Mastercard Inc</t>
  </si>
  <si>
    <t>Financial Modeling and Valuation of Mastercard Inc.</t>
  </si>
  <si>
    <t>1. Introduction</t>
  </si>
  <si>
    <t>Financial modeling is a crucial tool used in corporate finance, investment banking, and equity research to evaluate a company's financial performance and estimate its intrinsic value. This project develops a comprehensive financial model for Mastercard Inc., a global payment technology company. The model forecasts financial performance, analyzes profitability and risk, and estimates the company's valuation using multiple methods.</t>
  </si>
  <si>
    <t>2. Objectives of the Study</t>
  </si>
  <si>
    <t>To analyze the historical financial performance of Mastercard Inc.</t>
  </si>
  <si>
    <t>To build an integrated three‑statement financial model.</t>
  </si>
  <si>
    <t>To forecast future financial performance for the period 2025–2029.</t>
  </si>
  <si>
    <t>To estimate the intrinsic value of the company using DCF, DDM, and relative valuation.</t>
  </si>
  <si>
    <t>To compare Mastercard with industry competitors using financial ratios.</t>
  </si>
  <si>
    <t>3. Company Overview</t>
  </si>
  <si>
    <t>Mastercard Inc. is a multinational financial services corporation that operates a global payments processing network. The company facilitates electronic payments between consumers, merchants, financial institutions, and governments worldwide.</t>
  </si>
  <si>
    <t>Key Business Segments:</t>
  </si>
  <si>
    <t>Payment Processing</t>
  </si>
  <si>
    <t>Cross‑Border Transactions</t>
  </si>
  <si>
    <t>Value Added Services</t>
  </si>
  <si>
    <t>The company generates revenue primarily through transaction processing fees, cross‑border fees, and value‑added service fees.</t>
  </si>
  <si>
    <t>4. Methodology</t>
  </si>
  <si>
    <t>The project follows a structured financial modeling process used in professional financial analysis.</t>
  </si>
  <si>
    <t>Steps followed:</t>
  </si>
  <si>
    <t>1. Collection of historical financial data.</t>
  </si>
  <si>
    <t>2. Preparation of income statement, balance sheet, and cash flow statement.</t>
  </si>
  <si>
    <t>3. Identification of key financial drivers and assumptions.</t>
  </si>
  <si>
    <t>4. Forecasting financial statements for five years.</t>
  </si>
  <si>
    <t>5. Estimation of cost of capital (WACC).</t>
  </si>
  <si>
    <t>6. Company valuation using multiple valuation techniques.</t>
  </si>
  <si>
    <t>7. Financial ratio and industry benchmarking analysis.</t>
  </si>
  <si>
    <t>5. Data Sources</t>
  </si>
  <si>
    <t>Financial data used in the model was collected from reliable sources including:</t>
  </si>
  <si>
    <t>Annual reports</t>
  </si>
  <si>
    <t>Financial databases</t>
  </si>
  <si>
    <t>Market data sources</t>
  </si>
  <si>
    <t>Historical financial data from 2020–2024 was used as the base for forecasting future financial performance.</t>
  </si>
  <si>
    <t>6. Financial Statement Analysis</t>
  </si>
  <si>
    <t>6.1 Income Statement Analysis</t>
  </si>
  <si>
    <t>The income statement analysis focuses on revenue growth, operating expenses, and profitability margins. Mastercard has demonstrated consistent revenue growth driven by increasing digital payment adoption and cross‑border transactions.</t>
  </si>
  <si>
    <t>Key metrics analyzed include:</t>
  </si>
  <si>
    <t>6.2 Balance Sheet Analysis</t>
  </si>
  <si>
    <t>The balance sheet analysis evaluates the company's financial stability, asset structure, and capital structure.</t>
  </si>
  <si>
    <t>Key components analyzed:</t>
  </si>
  <si>
    <t>Shareholders' Equity</t>
  </si>
  <si>
    <t>Debt Structure</t>
  </si>
  <si>
    <t>6.3 Cash Flow Analysis</t>
  </si>
  <si>
    <t>Cash flow analysis focuses on the company's ability to generate operating cash flows and free cash flows.</t>
  </si>
  <si>
    <t>Components analyzed:</t>
  </si>
  <si>
    <t>7. Financial Forecasting</t>
  </si>
  <si>
    <t>A five‑year forecast (2025–2029) was developed using driver‑based assumptions such as revenue growth, operating margins, and capital expenditure trends.</t>
  </si>
  <si>
    <t>Key forecast drivers:</t>
  </si>
  <si>
    <t>Payment volume growth</t>
  </si>
  <si>
    <t>Cross‑border transaction growth</t>
  </si>
  <si>
    <t>Operating efficiency improvements</t>
  </si>
  <si>
    <t>Digital payment adoption trends</t>
  </si>
  <si>
    <t>The forecasting process ensures consistency across the three financial statements.</t>
  </si>
  <si>
    <t>8. Cost of Capital (WACC)</t>
  </si>
  <si>
    <t>The Weighted Average Cost of Capital (WACC) was calculated to estimate the discount rate used in valuation.</t>
  </si>
  <si>
    <t>Components of WACC:</t>
  </si>
  <si>
    <t>Cost of Equity (CAPM Model)</t>
  </si>
  <si>
    <t>Capital Structure Weights</t>
  </si>
  <si>
    <t>Beta for the company was estimated using regression analysis of stock returns against market returns.</t>
  </si>
  <si>
    <t>9. Valuation Methods</t>
  </si>
  <si>
    <t>9.1 Discounted Cash Flow (DCF) Valuation</t>
  </si>
  <si>
    <t>The DCF method estimates the intrinsic value of the company by discounting projected free cash flows to present value using WACC.</t>
  </si>
  <si>
    <t>Steps:</t>
  </si>
  <si>
    <t>1. Forecast Free Cash Flow</t>
  </si>
  <si>
    <t>2. Estimate Terminal Value</t>
  </si>
  <si>
    <t>3. Discount Cash Flows to Present Value</t>
  </si>
  <si>
    <t>9.2 Dividend Discount Model (DDM)</t>
  </si>
  <si>
    <t>The Dividend Discount Model values the company based on the present value of expected future dividends.</t>
  </si>
  <si>
    <t>9.3 Relative Valuation</t>
  </si>
  <si>
    <t>Relative valuation compares Mastercard with peer companies using financial multiples such as:</t>
  </si>
  <si>
    <t>Price to Earnings (P/E)</t>
  </si>
  <si>
    <t>Price to Book (P/B)</t>
  </si>
  <si>
    <t>10. Ratio Analysis</t>
  </si>
  <si>
    <t>Financial ratios were used to evaluate the company's performance across profitability, efficiency, and solvency.</t>
  </si>
  <si>
    <t>Key ratios include:</t>
  </si>
  <si>
    <t>Return on Equity (ROE)</t>
  </si>
  <si>
    <t>EBITDA Margin</t>
  </si>
  <si>
    <t>Net Profit Margin</t>
  </si>
  <si>
    <t>Asset Turnover</t>
  </si>
  <si>
    <t>The results indicate that Mastercard maintains strong profitability and efficient operations compared to industry peers.</t>
  </si>
  <si>
    <t>11. Industry Comparison</t>
  </si>
  <si>
    <t>Mastercard was compared with competitors in the global payment industry to assess its competitive position. Industry benchmarking helps identify relative strengths in profitability, growth, and operational efficiency.</t>
  </si>
  <si>
    <t>12. Key Findings</t>
  </si>
  <si>
    <t>Mastercard demonstrates strong revenue growth and high profit margins.</t>
  </si>
  <si>
    <t>The company benefits from increasing digital payment adoption worldwide.</t>
  </si>
  <si>
    <t>High return on equity indicates efficient use of shareholder capital.</t>
  </si>
  <si>
    <t>Multiple valuation techniques provide a comprehensive estimate of intrinsic value.</t>
  </si>
  <si>
    <t>13. Limitations of the Study</t>
  </si>
  <si>
    <t>Forecasts are based on assumptions that may change with market conditions.</t>
  </si>
  <si>
    <t>Macroeconomic factors and regulatory changes may impact future financial performance.</t>
  </si>
  <si>
    <t>14. Conclusion</t>
  </si>
  <si>
    <t>The financial modeling analysis indicates that Mastercard is a financially strong company with stable growth prospects. The company benefits from global expansion of digital payments and strong operating margins. Valuation results suggest that the company maintains strong long‑term investment potential.</t>
  </si>
  <si>
    <t>15. References</t>
  </si>
  <si>
    <t>Mastercard Annual Reports</t>
  </si>
  <si>
    <t>Financial Market Data Sources</t>
  </si>
  <si>
    <t>Corporate Finance and Valuation Textbooks</t>
  </si>
  <si>
    <t>CAGR Projections</t>
  </si>
  <si>
    <t>CAGR</t>
  </si>
  <si>
    <t>Income Statement CAGR Projection</t>
  </si>
  <si>
    <t>Balance Sheet CAGR Projection</t>
  </si>
  <si>
    <t>Shareholders Equity</t>
  </si>
  <si>
    <t>Cash Flow Statement CAGR Projection</t>
  </si>
  <si>
    <t>20.CAGR Projections</t>
  </si>
  <si>
    <t>21.Project Report</t>
  </si>
  <si>
    <t>1.Data Income</t>
  </si>
  <si>
    <t>Current Share Price</t>
  </si>
  <si>
    <t>Valuation Multiples</t>
  </si>
  <si>
    <t>P/E Ratio</t>
  </si>
  <si>
    <t>Price / Book</t>
  </si>
  <si>
    <t>Book Value Per Share</t>
  </si>
  <si>
    <t>Key Valuation Summary</t>
  </si>
  <si>
    <t>Upside / Downside</t>
  </si>
  <si>
    <t>(All figures in USD Millions unless stated otherwise)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</si>
</sst>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8" formatCode="&quot;$&quot;#,##0.00_);[Red]\(&quot;$&quot;#,##0.00\)"/>
    <numFmt numFmtId="44" formatCode="_(&quot;$&quot;* #,##0.00_);_(&quot;$&quot;* \(#,##0.00\);_(&quot;$&quot;* &quot;-&quot;??_);_(@_)"/>
    <numFmt numFmtId="164" formatCode="_(&quot;$ &quot;#,##0_);_(&quot;$ &quot;\(#,##0\)"/>
    <numFmt numFmtId="165" formatCode="_(&quot;$ &quot;#,##0.00_);_(&quot;$ &quot;\(#,##0.00\)"/>
    <numFmt numFmtId="166" formatCode="&quot;$&quot;#,##0.00"/>
    <numFmt numFmtId="167" formatCode="0.0%"/>
  </numFmts>
  <fonts count="26">
    <font>
      <sz val="11"/>
      <color theme="1"/>
      <name val="Aptos Narrow"/>
      <family val="2"/>
      <scheme val="minor"/>
    </font>
    <font>
      <sz val="11"/>
      <color theme="1"/>
      <name val="Aptos Narrow"/>
      <family val="2"/>
      <scheme val="minor"/>
    </font>
    <font>
      <sz val="8"/>
      <name val="Aptos Narrow"/>
      <family val="2"/>
      <scheme val="minor"/>
    </font>
    <font>
      <sz val="10"/>
      <name val="Arial"/>
      <family val="2"/>
    </font>
    <font>
      <b/>
      <sz val="11"/>
      <color theme="1"/>
      <name val="Bold"/>
    </font>
    <font>
      <sz val="10"/>
      <name val="Bold"/>
    </font>
    <font>
      <sz val="11"/>
      <color theme="1"/>
      <name val="Bold"/>
    </font>
    <font>
      <b/>
      <sz val="18"/>
      <color rgb="FFFFFFFF"/>
      <name val="Bold"/>
    </font>
    <font>
      <sz val="18"/>
      <color rgb="FF000000"/>
      <name val="Bold"/>
    </font>
    <font>
      <b/>
      <sz val="11"/>
      <color theme="0"/>
      <name val="Bold"/>
    </font>
    <font>
      <b/>
      <sz val="11"/>
      <name val="Bold"/>
    </font>
    <font>
      <sz val="11"/>
      <name val="Bold"/>
    </font>
    <font>
      <i/>
      <sz val="11"/>
      <color theme="1"/>
      <name val="Bold"/>
    </font>
    <font>
      <b/>
      <sz val="12"/>
      <color theme="1"/>
      <name val="Bold"/>
    </font>
    <font>
      <sz val="11"/>
      <color theme="5" tint="-0.499984740745262"/>
      <name val="Bold"/>
    </font>
    <font>
      <sz val="11"/>
      <color theme="9"/>
      <name val="Bold"/>
    </font>
    <font>
      <b/>
      <sz val="10"/>
      <color theme="0"/>
      <name val="Bold"/>
    </font>
    <font>
      <b/>
      <sz val="11"/>
      <color theme="1"/>
      <name val="Aptos Narrow"/>
      <family val="2"/>
      <scheme val="minor"/>
    </font>
    <font>
      <b/>
      <sz val="10"/>
      <name val="Bold"/>
    </font>
    <font>
      <u/>
      <sz val="11"/>
      <color theme="10"/>
      <name val="Aptos Narrow"/>
      <family val="2"/>
      <scheme val="minor"/>
    </font>
    <font>
      <b/>
      <sz val="11"/>
      <color theme="1"/>
      <name val="Aptos Narrow"/>
      <scheme val="minor"/>
    </font>
    <font>
      <b/>
      <sz val="11"/>
      <color theme="2"/>
      <name val="Aptos Narrow"/>
      <scheme val="minor"/>
    </font>
    <font>
      <b/>
      <sz val="24"/>
      <color theme="1"/>
      <name val="Aptos Narrow"/>
      <family val="2"/>
      <scheme val="minor"/>
    </font>
    <font>
      <b/>
      <sz val="18"/>
      <color theme="1"/>
      <name val="Aptos Narrow"/>
      <family val="2"/>
      <scheme val="minor"/>
    </font>
    <font>
      <b/>
      <sz val="13.5"/>
      <color theme="1"/>
      <name val="Aptos Narrow"/>
      <family val="2"/>
      <scheme val="minor"/>
    </font>
    <font>
      <u/>
      <sz val="11"/>
      <color theme="1"/>
      <name val="Bold"/>
    </font>
  </fonts>
  <fills count="20">
    <fill>
      <patternFill patternType="none"/>
    </fill>
    <fill>
      <patternFill patternType="gray125"/>
    </fill>
    <fill>
      <patternFill patternType="solid">
        <fgColor theme="7"/>
        <bgColor theme="7"/>
      </patternFill>
    </fill>
    <fill>
      <patternFill patternType="solid">
        <fgColor theme="7" tint="0.59999389629810485"/>
        <bgColor theme="7" tint="0.59999389629810485"/>
      </patternFill>
    </fill>
    <fill>
      <patternFill patternType="solid">
        <fgColor theme="7" tint="0.79998168889431442"/>
        <bgColor theme="7" tint="0.79998168889431442"/>
      </patternFill>
    </fill>
    <fill>
      <patternFill patternType="solid">
        <fgColor theme="4"/>
        <bgColor theme="4"/>
      </patternFill>
    </fill>
    <fill>
      <patternFill patternType="solid">
        <fgColor theme="4" tint="0.79998168889431442"/>
        <bgColor theme="4" tint="0.79998168889431442"/>
      </patternFill>
    </fill>
    <fill>
      <patternFill patternType="solid">
        <fgColor theme="5" tint="0.59999389629810485"/>
        <bgColor theme="5" tint="0.59999389629810485"/>
      </patternFill>
    </fill>
    <fill>
      <patternFill patternType="solid">
        <fgColor theme="5" tint="0.79998168889431442"/>
        <bgColor theme="5" tint="0.79998168889431442"/>
      </patternFill>
    </fill>
    <fill>
      <patternFill patternType="solid">
        <fgColor rgb="FFFFFF00"/>
        <bgColor indexed="64"/>
      </patternFill>
    </fill>
    <fill>
      <patternFill patternType="solid">
        <fgColor theme="0"/>
        <bgColor indexed="64"/>
      </patternFill>
    </fill>
    <fill>
      <patternFill patternType="solid">
        <fgColor theme="5"/>
        <bgColor theme="5" tint="0.59999389629810485"/>
      </patternFill>
    </fill>
    <fill>
      <patternFill patternType="solid">
        <fgColor theme="4" tint="-0.249977111117893"/>
        <bgColor indexed="64"/>
      </patternFill>
    </fill>
    <fill>
      <patternFill patternType="solid">
        <fgColor theme="4" tint="0.79995117038483843"/>
        <bgColor indexed="64"/>
      </patternFill>
    </fill>
    <fill>
      <patternFill patternType="solid">
        <fgColor rgb="FF00B050"/>
        <bgColor indexed="64"/>
      </patternFill>
    </fill>
    <fill>
      <patternFill patternType="solid">
        <fgColor rgb="FF00B050"/>
        <bgColor theme="5" tint="0.59999389629810485"/>
      </patternFill>
    </fill>
    <fill>
      <patternFill patternType="solid">
        <fgColor rgb="FF00B050"/>
        <bgColor theme="5" tint="0.79998168889431442"/>
      </patternFill>
    </fill>
    <fill>
      <patternFill patternType="solid">
        <fgColor rgb="FFFFFFCC"/>
      </patternFill>
    </fill>
    <fill>
      <patternFill patternType="solid">
        <fgColor theme="5" tint="-0.249977111117893"/>
        <bgColor indexed="64"/>
      </patternFill>
    </fill>
    <fill>
      <patternFill patternType="solid">
        <fgColor theme="5"/>
        <bgColor indexed="64"/>
      </patternFill>
    </fill>
  </fills>
  <borders count="47">
    <border>
      <left/>
      <right/>
      <top/>
      <bottom/>
      <diagonal/>
    </border>
    <border>
      <left style="thin">
        <color theme="0"/>
      </left>
      <right style="thin">
        <color theme="0"/>
      </right>
      <top/>
      <bottom style="thick">
        <color theme="0"/>
      </bottom>
      <diagonal/>
    </border>
    <border>
      <left style="thin">
        <color theme="0"/>
      </left>
      <right/>
      <top/>
      <bottom style="thick">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7" tint="0.39997558519241921"/>
      </top>
      <bottom style="thin">
        <color theme="7" tint="0.39997558519241921"/>
      </bottom>
      <diagonal/>
    </border>
    <border>
      <left/>
      <right style="thin">
        <color theme="7" tint="0.39997558519241921"/>
      </right>
      <top style="thin">
        <color theme="7" tint="0.39997558519241921"/>
      </top>
      <bottom style="thin">
        <color theme="7" tint="0.39997558519241921"/>
      </bottom>
      <diagonal/>
    </border>
    <border>
      <left style="thin">
        <color theme="0"/>
      </left>
      <right style="thin">
        <color theme="0"/>
      </right>
      <top style="thin">
        <color theme="0"/>
      </top>
      <bottom style="thin">
        <color theme="7" tint="0.39997558519241921"/>
      </bottom>
      <diagonal/>
    </border>
    <border>
      <left style="thin">
        <color theme="0"/>
      </left>
      <right style="thin">
        <color theme="7" tint="0.39997558519241921"/>
      </right>
      <top style="thin">
        <color theme="0"/>
      </top>
      <bottom style="thin">
        <color theme="7" tint="0.39997558519241921"/>
      </bottom>
      <diagonal/>
    </border>
    <border>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5" tint="0.39997558519241921"/>
      </left>
      <right/>
      <top style="thin">
        <color theme="5" tint="0.39997558519241921"/>
      </top>
      <bottom/>
      <diagonal/>
    </border>
    <border>
      <left/>
      <right style="thin">
        <color theme="5" tint="0.39997558519241921"/>
      </right>
      <top style="thin">
        <color theme="5" tint="0.39997558519241921"/>
      </top>
      <bottom/>
      <diagonal/>
    </border>
    <border>
      <left/>
      <right/>
      <top/>
      <bottom style="medium">
        <color indexed="64"/>
      </bottom>
      <diagonal/>
    </border>
    <border>
      <left/>
      <right/>
      <top style="medium">
        <color indexed="64"/>
      </top>
      <bottom style="thin">
        <color indexed="64"/>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style="medium">
        <color auto="1"/>
      </left>
      <right style="medium">
        <color rgb="FFFFFFFF"/>
      </right>
      <top style="medium">
        <color auto="1"/>
      </top>
      <bottom style="thick">
        <color rgb="FFFFFFFF"/>
      </bottom>
      <diagonal/>
    </border>
    <border>
      <left style="medium">
        <color rgb="FFFFFFFF"/>
      </left>
      <right/>
      <top style="medium">
        <color auto="1"/>
      </top>
      <bottom/>
      <diagonal/>
    </border>
    <border>
      <left style="medium">
        <color auto="1"/>
      </left>
      <right style="medium">
        <color rgb="FFFFFFFF"/>
      </right>
      <top style="medium">
        <color rgb="FFFFFFFF"/>
      </top>
      <bottom style="thick">
        <color rgb="FFFFFFFF"/>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auto="1"/>
      </right>
      <top style="medium">
        <color rgb="FFFFFFFF"/>
      </top>
      <bottom style="thick">
        <color rgb="FFFFFFFF"/>
      </bottom>
      <diagonal/>
    </border>
    <border>
      <left style="medium">
        <color auto="1"/>
      </left>
      <right style="medium">
        <color rgb="FFFFFFFF"/>
      </right>
      <top style="thick">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auto="1"/>
      </right>
      <top style="thick">
        <color rgb="FFFFFFFF"/>
      </top>
      <bottom style="medium">
        <color rgb="FFFFFFFF"/>
      </bottom>
      <diagonal/>
    </border>
    <border>
      <left style="medium">
        <color auto="1"/>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auto="1"/>
      </right>
      <top style="medium">
        <color rgb="FFFFFFFF"/>
      </top>
      <bottom style="medium">
        <color rgb="FFFFFFFF"/>
      </bottom>
      <diagonal/>
    </border>
    <border>
      <left style="medium">
        <color auto="1"/>
      </left>
      <right style="medium">
        <color rgb="FFFFFFFF"/>
      </right>
      <top style="medium">
        <color rgb="FFFFFFFF"/>
      </top>
      <bottom style="medium">
        <color auto="1"/>
      </bottom>
      <diagonal/>
    </border>
    <border>
      <left style="medium">
        <color rgb="FFFFFFFF"/>
      </left>
      <right style="medium">
        <color rgb="FFFFFFFF"/>
      </right>
      <top style="medium">
        <color rgb="FFFFFFFF"/>
      </top>
      <bottom style="medium">
        <color auto="1"/>
      </bottom>
      <diagonal/>
    </border>
    <border>
      <left style="medium">
        <color rgb="FFFFFFFF"/>
      </left>
      <right style="medium">
        <color auto="1"/>
      </right>
      <top style="medium">
        <color rgb="FFFFFFFF"/>
      </top>
      <bottom style="medium">
        <color auto="1"/>
      </bottom>
      <diagonal/>
    </border>
    <border>
      <left style="medium">
        <color rgb="FFFFFFFF"/>
      </left>
      <right style="medium">
        <color rgb="FFFFFFFF"/>
      </right>
      <top style="medium">
        <color auto="1"/>
      </top>
      <bottom style="thick">
        <color rgb="FFFFFFFF"/>
      </bottom>
      <diagonal/>
    </border>
    <border>
      <left style="medium">
        <color rgb="FFFFFFFF"/>
      </left>
      <right style="medium">
        <color auto="1"/>
      </right>
      <top style="medium">
        <color auto="1"/>
      </top>
      <bottom style="thick">
        <color rgb="FFFFFFFF"/>
      </bottom>
      <diagonal/>
    </border>
    <border>
      <left style="thin">
        <color rgb="FFB2B2B2"/>
      </left>
      <right style="thin">
        <color rgb="FFB2B2B2"/>
      </right>
      <top style="thin">
        <color rgb="FFB2B2B2"/>
      </top>
      <bottom style="thin">
        <color rgb="FFB2B2B2"/>
      </bottom>
      <diagonal/>
    </border>
    <border>
      <left/>
      <right style="thin">
        <color rgb="FFB2B2B2"/>
      </right>
      <top style="thin">
        <color rgb="FFB2B2B2"/>
      </top>
      <bottom style="thin">
        <color rgb="FFB2B2B2"/>
      </bottom>
      <diagonal/>
    </border>
    <border>
      <left/>
      <right style="thin">
        <color rgb="FFB2B2B2"/>
      </right>
      <top style="thin">
        <color rgb="FFB2B2B2"/>
      </top>
      <bottom/>
      <diagonal/>
    </border>
    <border>
      <left style="thin">
        <color theme="0"/>
      </left>
      <right style="thin">
        <color theme="0"/>
      </right>
      <top/>
      <bottom/>
      <diagonal/>
    </border>
    <border>
      <left style="thin">
        <color theme="0"/>
      </left>
      <right/>
      <top/>
      <bottom/>
      <diagonal/>
    </border>
    <border>
      <left style="thin">
        <color rgb="FFB2B2B2"/>
      </left>
      <right style="thin">
        <color rgb="FFB2B2B2"/>
      </right>
      <top style="thin">
        <color rgb="FFB2B2B2"/>
      </top>
      <bottom/>
      <diagonal/>
    </border>
  </borders>
  <cellStyleXfs count="6">
    <xf numFmtId="0" fontId="0" fillId="0" borderId="0"/>
    <xf numFmtId="9" fontId="1" fillId="0" borderId="0" applyFont="0" applyFill="0" applyBorder="0" applyAlignment="0" applyProtection="0"/>
    <xf numFmtId="44" fontId="1" fillId="0" borderId="0" applyFont="0" applyFill="0" applyBorder="0" applyAlignment="0" applyProtection="0"/>
    <xf numFmtId="0" fontId="3" fillId="0" borderId="0"/>
    <xf numFmtId="0" fontId="1" fillId="17" borderId="41" applyNumberFormat="0" applyFont="0" applyAlignment="0" applyProtection="0"/>
    <xf numFmtId="0" fontId="19" fillId="0" borderId="0" applyNumberFormat="0" applyFill="0" applyBorder="0" applyAlignment="0" applyProtection="0"/>
  </cellStyleXfs>
  <cellXfs count="235">
    <xf numFmtId="0" fontId="0" fillId="0" borderId="0" xfId="0"/>
    <xf numFmtId="14" fontId="0" fillId="0" borderId="0" xfId="0" applyNumberFormat="1"/>
    <xf numFmtId="0" fontId="3" fillId="0" borderId="0" xfId="3"/>
    <xf numFmtId="0" fontId="4" fillId="0" borderId="0" xfId="0" applyFont="1" applyAlignment="1">
      <alignment vertical="center" wrapText="1"/>
    </xf>
    <xf numFmtId="0" fontId="5" fillId="0" borderId="0" xfId="3" applyFont="1"/>
    <xf numFmtId="0" fontId="4" fillId="0" borderId="0" xfId="0" applyFont="1"/>
    <xf numFmtId="0" fontId="6" fillId="0" borderId="0" xfId="0" applyFont="1"/>
    <xf numFmtId="0" fontId="7" fillId="12" borderId="25" xfId="0" applyFont="1" applyFill="1" applyBorder="1" applyAlignment="1">
      <alignment horizontal="left" vertical="center" readingOrder="1"/>
    </xf>
    <xf numFmtId="0" fontId="6" fillId="12" borderId="20" xfId="0" applyFont="1" applyFill="1" applyBorder="1" applyAlignment="1">
      <alignment readingOrder="1"/>
    </xf>
    <xf numFmtId="0" fontId="6" fillId="12" borderId="0" xfId="0" applyFont="1" applyFill="1" applyAlignment="1">
      <alignment readingOrder="1"/>
    </xf>
    <xf numFmtId="0" fontId="6" fillId="12" borderId="21" xfId="0" applyFont="1" applyFill="1" applyBorder="1" applyAlignment="1">
      <alignment readingOrder="1"/>
    </xf>
    <xf numFmtId="0" fontId="7" fillId="12" borderId="27" xfId="0" applyFont="1" applyFill="1" applyBorder="1" applyAlignment="1">
      <alignment horizontal="left" vertical="center" readingOrder="1"/>
    </xf>
    <xf numFmtId="0" fontId="7" fillId="12" borderId="28" xfId="0" applyFont="1" applyFill="1" applyBorder="1" applyAlignment="1">
      <alignment horizontal="left" vertical="center" readingOrder="1"/>
    </xf>
    <xf numFmtId="0" fontId="7" fillId="12" borderId="29" xfId="0" applyFont="1" applyFill="1" applyBorder="1" applyAlignment="1">
      <alignment horizontal="left" vertical="center" readingOrder="1"/>
    </xf>
    <xf numFmtId="0" fontId="8" fillId="13" borderId="30" xfId="0" applyFont="1" applyFill="1" applyBorder="1" applyAlignment="1">
      <alignment horizontal="left" vertical="center" readingOrder="1"/>
    </xf>
    <xf numFmtId="10" fontId="8" fillId="13" borderId="31" xfId="0" applyNumberFormat="1" applyFont="1" applyFill="1" applyBorder="1" applyAlignment="1">
      <alignment horizontal="left" vertical="center" readingOrder="1"/>
    </xf>
    <xf numFmtId="10" fontId="8" fillId="13" borderId="32" xfId="0" applyNumberFormat="1" applyFont="1" applyFill="1" applyBorder="1" applyAlignment="1">
      <alignment horizontal="left" vertical="center" readingOrder="1"/>
    </xf>
    <xf numFmtId="0" fontId="8" fillId="13" borderId="33" xfId="0" applyFont="1" applyFill="1" applyBorder="1" applyAlignment="1">
      <alignment horizontal="left" vertical="center" readingOrder="1"/>
    </xf>
    <xf numFmtId="0" fontId="8" fillId="13" borderId="34" xfId="0" applyFont="1" applyFill="1" applyBorder="1" applyAlignment="1">
      <alignment horizontal="left" vertical="center" readingOrder="1"/>
    </xf>
    <xf numFmtId="0" fontId="8" fillId="13" borderId="35" xfId="0" applyFont="1" applyFill="1" applyBorder="1" applyAlignment="1">
      <alignment horizontal="left" vertical="center" readingOrder="1"/>
    </xf>
    <xf numFmtId="10" fontId="8" fillId="13" borderId="34" xfId="0" applyNumberFormat="1" applyFont="1" applyFill="1" applyBorder="1" applyAlignment="1">
      <alignment horizontal="left" vertical="center" readingOrder="1"/>
    </xf>
    <xf numFmtId="10" fontId="8" fillId="13" borderId="35" xfId="0" applyNumberFormat="1" applyFont="1" applyFill="1" applyBorder="1" applyAlignment="1">
      <alignment horizontal="left" vertical="center" readingOrder="1"/>
    </xf>
    <xf numFmtId="0" fontId="8" fillId="13" borderId="36" xfId="0" applyFont="1" applyFill="1" applyBorder="1" applyAlignment="1">
      <alignment horizontal="left" vertical="center" readingOrder="1"/>
    </xf>
    <xf numFmtId="10" fontId="8" fillId="13" borderId="37" xfId="0" applyNumberFormat="1" applyFont="1" applyFill="1" applyBorder="1" applyAlignment="1">
      <alignment horizontal="left" vertical="center" readingOrder="1"/>
    </xf>
    <xf numFmtId="10" fontId="8" fillId="13" borderId="38" xfId="0" applyNumberFormat="1" applyFont="1" applyFill="1" applyBorder="1" applyAlignment="1">
      <alignment horizontal="left" vertical="center" readingOrder="1"/>
    </xf>
    <xf numFmtId="0" fontId="7" fillId="12" borderId="25" xfId="0" applyFont="1" applyFill="1" applyBorder="1" applyAlignment="1">
      <alignment horizontal="left" vertical="center" wrapText="1" indent="1" readingOrder="1"/>
    </xf>
    <xf numFmtId="0" fontId="7" fillId="12" borderId="39" xfId="0" applyFont="1" applyFill="1" applyBorder="1" applyAlignment="1">
      <alignment horizontal="left" vertical="center" wrapText="1" indent="1" readingOrder="1"/>
    </xf>
    <xf numFmtId="0" fontId="7" fillId="12" borderId="40" xfId="0" applyFont="1" applyFill="1" applyBorder="1" applyAlignment="1">
      <alignment horizontal="left" vertical="center" indent="1" readingOrder="1"/>
    </xf>
    <xf numFmtId="0" fontId="8" fillId="13" borderId="30" xfId="0" applyFont="1" applyFill="1" applyBorder="1" applyAlignment="1">
      <alignment horizontal="left" vertical="center" indent="1" readingOrder="1"/>
    </xf>
    <xf numFmtId="4" fontId="8" fillId="13" borderId="34" xfId="0" applyNumberFormat="1" applyFont="1" applyFill="1" applyBorder="1" applyAlignment="1">
      <alignment horizontal="left" vertical="center" indent="1"/>
    </xf>
    <xf numFmtId="4" fontId="8" fillId="13" borderId="35" xfId="0" applyNumberFormat="1" applyFont="1" applyFill="1" applyBorder="1" applyAlignment="1">
      <alignment horizontal="left" vertical="center" indent="1"/>
    </xf>
    <xf numFmtId="0" fontId="8" fillId="13" borderId="33" xfId="0" applyFont="1" applyFill="1" applyBorder="1" applyAlignment="1">
      <alignment horizontal="left" vertical="center" indent="1" readingOrder="1"/>
    </xf>
    <xf numFmtId="10" fontId="8" fillId="13" borderId="34" xfId="0" applyNumberFormat="1" applyFont="1" applyFill="1" applyBorder="1" applyAlignment="1">
      <alignment horizontal="left" vertical="center" indent="1"/>
    </xf>
    <xf numFmtId="9" fontId="8" fillId="13" borderId="34" xfId="0" applyNumberFormat="1" applyFont="1" applyFill="1" applyBorder="1" applyAlignment="1">
      <alignment horizontal="left" vertical="center" indent="1"/>
    </xf>
    <xf numFmtId="0" fontId="8" fillId="13" borderId="36" xfId="0" applyFont="1" applyFill="1" applyBorder="1" applyAlignment="1">
      <alignment horizontal="left" vertical="center" indent="1" readingOrder="1"/>
    </xf>
    <xf numFmtId="4" fontId="8" fillId="13" borderId="37" xfId="0" applyNumberFormat="1" applyFont="1" applyFill="1" applyBorder="1" applyAlignment="1">
      <alignment horizontal="left" vertical="center" indent="1"/>
    </xf>
    <xf numFmtId="4" fontId="8" fillId="13" borderId="38" xfId="0" applyNumberFormat="1" applyFont="1" applyFill="1" applyBorder="1" applyAlignment="1">
      <alignment horizontal="left" vertical="center" indent="1"/>
    </xf>
    <xf numFmtId="3" fontId="6" fillId="0" borderId="0" xfId="0" applyNumberFormat="1" applyFont="1" applyAlignment="1">
      <alignment vertical="center" wrapText="1"/>
    </xf>
    <xf numFmtId="0" fontId="6" fillId="0" borderId="0" xfId="0" applyFont="1" applyAlignment="1">
      <alignment vertical="center" wrapText="1"/>
    </xf>
    <xf numFmtId="166" fontId="6" fillId="0" borderId="0" xfId="0" applyNumberFormat="1" applyFont="1"/>
    <xf numFmtId="2" fontId="6" fillId="0" borderId="0" xfId="0" applyNumberFormat="1" applyFont="1"/>
    <xf numFmtId="10" fontId="6" fillId="0" borderId="0" xfId="0" applyNumberFormat="1" applyFont="1"/>
    <xf numFmtId="9" fontId="6" fillId="0" borderId="0" xfId="0" applyNumberFormat="1" applyFont="1"/>
    <xf numFmtId="0" fontId="6" fillId="0" borderId="0" xfId="0" applyFont="1" applyAlignment="1">
      <alignment horizontal="center"/>
    </xf>
    <xf numFmtId="0" fontId="4" fillId="10" borderId="0" xfId="0" applyFont="1" applyFill="1"/>
    <xf numFmtId="37" fontId="6" fillId="0" borderId="0" xfId="0" applyNumberFormat="1" applyFont="1"/>
    <xf numFmtId="2" fontId="6" fillId="0" borderId="0" xfId="1" applyNumberFormat="1" applyFont="1"/>
    <xf numFmtId="0" fontId="4" fillId="0" borderId="0" xfId="0" applyFont="1" applyAlignment="1">
      <alignment horizontal="center" vertical="center" wrapText="1"/>
    </xf>
    <xf numFmtId="9" fontId="4" fillId="0" borderId="0" xfId="0" applyNumberFormat="1" applyFont="1" applyAlignment="1">
      <alignment horizontal="center" vertical="center" wrapText="1"/>
    </xf>
    <xf numFmtId="9" fontId="6" fillId="0" borderId="0" xfId="0" applyNumberFormat="1" applyFont="1" applyAlignment="1">
      <alignment vertical="center" wrapText="1"/>
    </xf>
    <xf numFmtId="6" fontId="6" fillId="0" borderId="0" xfId="0" applyNumberFormat="1" applyFont="1"/>
    <xf numFmtId="10" fontId="6" fillId="0" borderId="0" xfId="0" applyNumberFormat="1" applyFont="1" applyAlignment="1">
      <alignment vertical="center" wrapText="1"/>
    </xf>
    <xf numFmtId="0" fontId="4" fillId="0" borderId="0" xfId="0" applyFont="1" applyAlignment="1">
      <alignment horizontal="right"/>
    </xf>
    <xf numFmtId="0" fontId="10" fillId="10" borderId="0" xfId="0" applyFont="1" applyFill="1"/>
    <xf numFmtId="0" fontId="6" fillId="10" borderId="0" xfId="0" applyFont="1" applyFill="1"/>
    <xf numFmtId="0" fontId="11" fillId="10" borderId="0" xfId="0" applyFont="1" applyFill="1"/>
    <xf numFmtId="0" fontId="6" fillId="0" borderId="0" xfId="0" applyFont="1" applyAlignment="1">
      <alignment horizontal="right"/>
    </xf>
    <xf numFmtId="0" fontId="12" fillId="0" borderId="17" xfId="0" applyFont="1" applyBorder="1" applyAlignment="1">
      <alignment horizontal="centerContinuous"/>
    </xf>
    <xf numFmtId="0" fontId="6" fillId="0" borderId="16" xfId="0" applyFont="1" applyBorder="1"/>
    <xf numFmtId="0" fontId="12" fillId="0" borderId="17" xfId="0" applyFont="1" applyBorder="1" applyAlignment="1">
      <alignment horizontal="center"/>
    </xf>
    <xf numFmtId="0" fontId="13" fillId="9" borderId="0" xfId="0" applyFont="1" applyFill="1"/>
    <xf numFmtId="0" fontId="4" fillId="9" borderId="0" xfId="0" applyFont="1" applyFill="1"/>
    <xf numFmtId="14" fontId="6" fillId="0" borderId="0" xfId="0" applyNumberFormat="1" applyFont="1"/>
    <xf numFmtId="4" fontId="6" fillId="0" borderId="0" xfId="0" applyNumberFormat="1" applyFont="1"/>
    <xf numFmtId="0" fontId="6" fillId="0" borderId="14" xfId="0" applyFont="1" applyBorder="1"/>
    <xf numFmtId="0" fontId="6" fillId="0" borderId="15" xfId="0" applyFont="1" applyBorder="1"/>
    <xf numFmtId="0" fontId="6" fillId="14" borderId="0" xfId="0" applyFont="1" applyFill="1"/>
    <xf numFmtId="0" fontId="4" fillId="14" borderId="0" xfId="0" applyFont="1" applyFill="1" applyAlignment="1">
      <alignment horizontal="center" vertical="center" wrapText="1"/>
    </xf>
    <xf numFmtId="9" fontId="6" fillId="14" borderId="0" xfId="0" applyNumberFormat="1" applyFont="1" applyFill="1" applyAlignment="1">
      <alignment vertical="center" wrapText="1"/>
    </xf>
    <xf numFmtId="10" fontId="6" fillId="14" borderId="0" xfId="0" applyNumberFormat="1" applyFont="1" applyFill="1" applyAlignment="1">
      <alignment vertical="center" wrapText="1"/>
    </xf>
    <xf numFmtId="10" fontId="6" fillId="0" borderId="0" xfId="1" applyNumberFormat="1" applyFont="1" applyAlignment="1">
      <alignment vertical="center" wrapText="1"/>
    </xf>
    <xf numFmtId="10" fontId="6" fillId="14" borderId="0" xfId="1" applyNumberFormat="1" applyFont="1" applyFill="1" applyAlignment="1">
      <alignment vertical="center" wrapText="1"/>
    </xf>
    <xf numFmtId="0" fontId="14" fillId="0" borderId="0" xfId="0" applyFont="1"/>
    <xf numFmtId="0" fontId="15" fillId="0" borderId="0" xfId="0" applyFont="1"/>
    <xf numFmtId="9" fontId="4" fillId="0" borderId="0" xfId="0" applyNumberFormat="1" applyFont="1" applyAlignment="1">
      <alignment vertical="center" wrapText="1"/>
    </xf>
    <xf numFmtId="9" fontId="4" fillId="14" borderId="0" xfId="0" applyNumberFormat="1" applyFont="1" applyFill="1" applyAlignment="1">
      <alignment vertical="center" wrapText="1"/>
    </xf>
    <xf numFmtId="0" fontId="6" fillId="14" borderId="0" xfId="0" applyFont="1" applyFill="1" applyAlignment="1">
      <alignment vertical="center" wrapText="1"/>
    </xf>
    <xf numFmtId="37" fontId="6" fillId="0" borderId="0" xfId="0" applyNumberFormat="1" applyFont="1" applyAlignment="1">
      <alignment vertical="center" wrapText="1"/>
    </xf>
    <xf numFmtId="0" fontId="4" fillId="14" borderId="0" xfId="0" applyFont="1" applyFill="1"/>
    <xf numFmtId="2" fontId="6" fillId="0" borderId="0" xfId="0" applyNumberFormat="1" applyFont="1" applyAlignment="1">
      <alignment vertical="center" wrapText="1"/>
    </xf>
    <xf numFmtId="2" fontId="6" fillId="14" borderId="0" xfId="0" applyNumberFormat="1" applyFont="1" applyFill="1" applyAlignment="1">
      <alignment vertical="center" wrapText="1"/>
    </xf>
    <xf numFmtId="10" fontId="6" fillId="14" borderId="0" xfId="0" applyNumberFormat="1" applyFont="1" applyFill="1"/>
    <xf numFmtId="9" fontId="6" fillId="0" borderId="0" xfId="1" applyFont="1" applyAlignment="1">
      <alignment vertical="center" wrapText="1"/>
    </xf>
    <xf numFmtId="0" fontId="4" fillId="11" borderId="22" xfId="0" applyFont="1" applyFill="1" applyBorder="1" applyAlignment="1">
      <alignment horizontal="center" vertical="center" wrapText="1"/>
    </xf>
    <xf numFmtId="0" fontId="4" fillId="11" borderId="23" xfId="0" applyFont="1" applyFill="1" applyBorder="1"/>
    <xf numFmtId="0" fontId="4" fillId="11" borderId="23" xfId="0" applyFont="1" applyFill="1" applyBorder="1" applyAlignment="1">
      <alignment horizontal="center" vertical="center" wrapText="1"/>
    </xf>
    <xf numFmtId="0" fontId="4" fillId="15" borderId="23" xfId="0" applyFont="1" applyFill="1" applyBorder="1" applyAlignment="1">
      <alignment horizontal="center" vertical="center" wrapText="1"/>
    </xf>
    <xf numFmtId="0" fontId="4" fillId="15" borderId="24" xfId="0" applyFont="1" applyFill="1" applyBorder="1" applyAlignment="1">
      <alignment horizontal="center" vertical="center" wrapText="1"/>
    </xf>
    <xf numFmtId="0" fontId="6" fillId="8" borderId="11" xfId="0" applyFont="1" applyFill="1" applyBorder="1" applyAlignment="1">
      <alignment vertical="center" wrapText="1"/>
    </xf>
    <xf numFmtId="0" fontId="6" fillId="8" borderId="3" xfId="0" applyFont="1" applyFill="1" applyBorder="1"/>
    <xf numFmtId="37" fontId="6" fillId="8" borderId="3" xfId="0" applyNumberFormat="1" applyFont="1" applyFill="1" applyBorder="1" applyAlignment="1">
      <alignment vertical="center" wrapText="1"/>
    </xf>
    <xf numFmtId="37" fontId="6" fillId="16" borderId="3" xfId="0" applyNumberFormat="1" applyFont="1" applyFill="1" applyBorder="1" applyAlignment="1">
      <alignment vertical="center" wrapText="1"/>
    </xf>
    <xf numFmtId="0" fontId="6" fillId="7" borderId="11" xfId="0" applyFont="1" applyFill="1" applyBorder="1" applyAlignment="1">
      <alignment vertical="center" wrapText="1"/>
    </xf>
    <xf numFmtId="10" fontId="6" fillId="8" borderId="3" xfId="0" applyNumberFormat="1" applyFont="1" applyFill="1" applyBorder="1"/>
    <xf numFmtId="10" fontId="6" fillId="7" borderId="3" xfId="0" applyNumberFormat="1" applyFont="1" applyFill="1" applyBorder="1" applyAlignment="1">
      <alignment vertical="center" wrapText="1"/>
    </xf>
    <xf numFmtId="10" fontId="6" fillId="15" borderId="3" xfId="0" applyNumberFormat="1" applyFont="1" applyFill="1" applyBorder="1" applyAlignment="1">
      <alignment vertical="center" wrapText="1"/>
    </xf>
    <xf numFmtId="2" fontId="6" fillId="8" borderId="3" xfId="0" applyNumberFormat="1" applyFont="1" applyFill="1" applyBorder="1"/>
    <xf numFmtId="2" fontId="6" fillId="8" borderId="3" xfId="0" applyNumberFormat="1" applyFont="1" applyFill="1" applyBorder="1" applyAlignment="1">
      <alignment vertical="center" wrapText="1"/>
    </xf>
    <xf numFmtId="2" fontId="6" fillId="16" borderId="3" xfId="0" applyNumberFormat="1" applyFont="1" applyFill="1" applyBorder="1" applyAlignment="1">
      <alignment vertical="center" wrapText="1"/>
    </xf>
    <xf numFmtId="37" fontId="6" fillId="7" borderId="3" xfId="0" applyNumberFormat="1" applyFont="1" applyFill="1" applyBorder="1" applyAlignment="1">
      <alignment vertical="center" wrapText="1"/>
    </xf>
    <xf numFmtId="37" fontId="6" fillId="15" borderId="3" xfId="0" applyNumberFormat="1" applyFont="1" applyFill="1" applyBorder="1" applyAlignment="1">
      <alignment vertical="center" wrapText="1"/>
    </xf>
    <xf numFmtId="37" fontId="6" fillId="8" borderId="3" xfId="0" applyNumberFormat="1" applyFont="1" applyFill="1" applyBorder="1"/>
    <xf numFmtId="2" fontId="6" fillId="7" borderId="3" xfId="0" applyNumberFormat="1" applyFont="1" applyFill="1" applyBorder="1"/>
    <xf numFmtId="2" fontId="6" fillId="15" borderId="3" xfId="0" applyNumberFormat="1" applyFont="1" applyFill="1" applyBorder="1"/>
    <xf numFmtId="0" fontId="4" fillId="8" borderId="11" xfId="0" applyFont="1" applyFill="1" applyBorder="1" applyAlignment="1">
      <alignment vertical="center" wrapText="1"/>
    </xf>
    <xf numFmtId="2" fontId="6" fillId="16" borderId="3" xfId="0" applyNumberFormat="1" applyFont="1" applyFill="1" applyBorder="1"/>
    <xf numFmtId="37" fontId="6" fillId="16" borderId="3" xfId="0" applyNumberFormat="1" applyFont="1" applyFill="1" applyBorder="1"/>
    <xf numFmtId="0" fontId="4" fillId="7" borderId="12" xfId="0" applyFont="1" applyFill="1" applyBorder="1" applyAlignment="1">
      <alignment vertical="center" wrapText="1"/>
    </xf>
    <xf numFmtId="2" fontId="6" fillId="7" borderId="13" xfId="0" applyNumberFormat="1" applyFont="1" applyFill="1" applyBorder="1"/>
    <xf numFmtId="2" fontId="6" fillId="15" borderId="13" xfId="0" applyNumberFormat="1" applyFont="1" applyFill="1" applyBorder="1"/>
    <xf numFmtId="0" fontId="6" fillId="0" borderId="0" xfId="0" applyFont="1" applyAlignment="1">
      <alignment horizontal="right" wrapText="1"/>
    </xf>
    <xf numFmtId="10" fontId="6" fillId="0" borderId="0" xfId="0" applyNumberFormat="1" applyFont="1" applyAlignment="1">
      <alignment horizontal="right"/>
    </xf>
    <xf numFmtId="9" fontId="6" fillId="0" borderId="0" xfId="0" applyNumberFormat="1" applyFont="1" applyAlignment="1">
      <alignment horizontal="right"/>
    </xf>
    <xf numFmtId="0" fontId="9" fillId="0" borderId="0" xfId="0" applyFont="1" applyAlignment="1">
      <alignment horizontal="left" vertical="center" wrapText="1"/>
    </xf>
    <xf numFmtId="0" fontId="16" fillId="0" borderId="0" xfId="0" applyFont="1" applyAlignment="1">
      <alignment horizontal="center" vertical="center" wrapText="1"/>
    </xf>
    <xf numFmtId="0" fontId="16" fillId="14" borderId="0" xfId="0" applyFont="1" applyFill="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vertical="top" wrapText="1"/>
    </xf>
    <xf numFmtId="37" fontId="11" fillId="14" borderId="0" xfId="0" applyNumberFormat="1" applyFont="1" applyFill="1" applyAlignment="1">
      <alignment horizontal="right" vertical="top"/>
    </xf>
    <xf numFmtId="0" fontId="11" fillId="0" borderId="0" xfId="0" applyFont="1" applyAlignment="1">
      <alignment vertical="top" wrapText="1"/>
    </xf>
    <xf numFmtId="164" fontId="11" fillId="0" borderId="0" xfId="0" applyNumberFormat="1" applyFont="1" applyAlignment="1">
      <alignment horizontal="right" vertical="top"/>
    </xf>
    <xf numFmtId="37" fontId="11" fillId="0" borderId="0" xfId="0" applyNumberFormat="1" applyFont="1" applyAlignment="1">
      <alignment horizontal="right" vertical="top"/>
    </xf>
    <xf numFmtId="3" fontId="11" fillId="0" borderId="0" xfId="0" applyNumberFormat="1" applyFont="1" applyAlignment="1">
      <alignment vertical="top" wrapText="1"/>
    </xf>
    <xf numFmtId="0" fontId="9" fillId="0" borderId="0" xfId="0" applyFont="1" applyAlignment="1">
      <alignment horizontal="center" vertical="center" wrapText="1"/>
    </xf>
    <xf numFmtId="0" fontId="9" fillId="14" borderId="0" xfId="0" applyFont="1" applyFill="1" applyAlignment="1">
      <alignment horizontal="center" vertical="center" wrapText="1"/>
    </xf>
    <xf numFmtId="37" fontId="11" fillId="14" borderId="0" xfId="0" applyNumberFormat="1" applyFont="1" applyFill="1" applyAlignment="1">
      <alignment vertical="top" wrapText="1"/>
    </xf>
    <xf numFmtId="0" fontId="11" fillId="14" borderId="0" xfId="0" applyFont="1" applyFill="1" applyAlignment="1">
      <alignment vertical="top" wrapText="1"/>
    </xf>
    <xf numFmtId="2" fontId="11" fillId="14" borderId="0" xfId="0" applyNumberFormat="1" applyFont="1" applyFill="1" applyAlignment="1">
      <alignment vertical="top" wrapText="1"/>
    </xf>
    <xf numFmtId="2" fontId="11" fillId="14" borderId="0" xfId="0" applyNumberFormat="1" applyFont="1" applyFill="1" applyAlignment="1">
      <alignment horizontal="right" vertical="top"/>
    </xf>
    <xf numFmtId="2" fontId="6" fillId="14" borderId="0" xfId="0" applyNumberFormat="1" applyFont="1" applyFill="1"/>
    <xf numFmtId="9" fontId="6" fillId="14" borderId="0" xfId="0" applyNumberFormat="1" applyFont="1" applyFill="1"/>
    <xf numFmtId="2" fontId="6" fillId="14" borderId="0" xfId="0" applyNumberFormat="1" applyFont="1" applyFill="1" applyAlignment="1">
      <alignment horizontal="center"/>
    </xf>
    <xf numFmtId="165" fontId="11" fillId="0" borderId="0" xfId="0" applyNumberFormat="1" applyFont="1" applyAlignment="1">
      <alignment horizontal="right" vertical="top"/>
    </xf>
    <xf numFmtId="2" fontId="6" fillId="14" borderId="0" xfId="2" applyNumberFormat="1" applyFont="1" applyFill="1"/>
    <xf numFmtId="0" fontId="9" fillId="5" borderId="5" xfId="0" applyFont="1" applyFill="1" applyBorder="1"/>
    <xf numFmtId="0" fontId="9" fillId="5" borderId="6" xfId="0" applyFont="1" applyFill="1" applyBorder="1"/>
    <xf numFmtId="3" fontId="6" fillId="0" borderId="0" xfId="0" applyNumberFormat="1" applyFont="1"/>
    <xf numFmtId="0" fontId="6" fillId="6" borderId="5" xfId="0" applyFont="1" applyFill="1" applyBorder="1"/>
    <xf numFmtId="9" fontId="6" fillId="6" borderId="6" xfId="0" applyNumberFormat="1" applyFont="1" applyFill="1" applyBorder="1"/>
    <xf numFmtId="0" fontId="6" fillId="0" borderId="5" xfId="0" applyFont="1" applyBorder="1"/>
    <xf numFmtId="10" fontId="6" fillId="0" borderId="6" xfId="0" applyNumberFormat="1" applyFont="1" applyBorder="1"/>
    <xf numFmtId="10" fontId="6" fillId="6" borderId="6" xfId="0" applyNumberFormat="1" applyFont="1" applyFill="1" applyBorder="1"/>
    <xf numFmtId="0" fontId="9" fillId="2" borderId="7" xfId="0" applyFont="1" applyFill="1" applyBorder="1"/>
    <xf numFmtId="0" fontId="9" fillId="2" borderId="8" xfId="0" applyFont="1" applyFill="1" applyBorder="1"/>
    <xf numFmtId="9" fontId="6" fillId="0" borderId="6" xfId="0" applyNumberFormat="1" applyFont="1" applyBorder="1"/>
    <xf numFmtId="0" fontId="6" fillId="4" borderId="5" xfId="0" applyFont="1" applyFill="1" applyBorder="1"/>
    <xf numFmtId="9" fontId="6" fillId="4" borderId="6" xfId="0" applyNumberFormat="1" applyFont="1" applyFill="1" applyBorder="1"/>
    <xf numFmtId="0" fontId="6" fillId="3" borderId="9" xfId="0" applyFont="1" applyFill="1" applyBorder="1" applyAlignment="1">
      <alignment vertical="center" wrapText="1"/>
    </xf>
    <xf numFmtId="9" fontId="6" fillId="3" borderId="10" xfId="0" applyNumberFormat="1" applyFont="1" applyFill="1" applyBorder="1" applyAlignment="1">
      <alignment vertical="center" wrapText="1"/>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6" fillId="3" borderId="3" xfId="0" applyFont="1" applyFill="1" applyBorder="1" applyAlignment="1">
      <alignment vertical="center" wrapText="1"/>
    </xf>
    <xf numFmtId="9" fontId="6" fillId="3" borderId="4" xfId="0" applyNumberFormat="1" applyFont="1" applyFill="1" applyBorder="1" applyAlignment="1">
      <alignment vertical="center" wrapText="1"/>
    </xf>
    <xf numFmtId="0" fontId="6" fillId="4" borderId="3" xfId="0" applyFont="1" applyFill="1" applyBorder="1" applyAlignment="1">
      <alignment vertical="center" wrapText="1"/>
    </xf>
    <xf numFmtId="9" fontId="6" fillId="4" borderId="4" xfId="0" applyNumberFormat="1" applyFont="1" applyFill="1" applyBorder="1" applyAlignment="1">
      <alignment vertical="center" wrapText="1"/>
    </xf>
    <xf numFmtId="2" fontId="4" fillId="0" borderId="0" xfId="0" applyNumberFormat="1" applyFont="1"/>
    <xf numFmtId="0" fontId="6" fillId="0" borderId="0" xfId="0" applyFont="1" applyAlignment="1">
      <alignment horizontal="left"/>
    </xf>
    <xf numFmtId="2" fontId="6" fillId="0" borderId="0" xfId="0" applyNumberFormat="1" applyFont="1" applyAlignment="1">
      <alignment horizontal="right"/>
    </xf>
    <xf numFmtId="0" fontId="17" fillId="0" borderId="0" xfId="0" applyFont="1" applyAlignment="1">
      <alignment horizontal="center" vertical="center" wrapText="1"/>
    </xf>
    <xf numFmtId="0" fontId="17" fillId="0" borderId="0" xfId="0" applyFont="1" applyAlignment="1">
      <alignment horizontal="left" vertical="center" wrapText="1"/>
    </xf>
    <xf numFmtId="0" fontId="17" fillId="0" borderId="0" xfId="0" applyFont="1"/>
    <xf numFmtId="37" fontId="6" fillId="14" borderId="0" xfId="0" applyNumberFormat="1" applyFont="1" applyFill="1"/>
    <xf numFmtId="0" fontId="10" fillId="14" borderId="0" xfId="0" applyFont="1" applyFill="1" applyAlignment="1">
      <alignment vertical="top" wrapText="1"/>
    </xf>
    <xf numFmtId="164" fontId="11" fillId="14" borderId="0" xfId="0" applyNumberFormat="1" applyFont="1" applyFill="1" applyAlignment="1">
      <alignment horizontal="right" vertical="top"/>
    </xf>
    <xf numFmtId="0" fontId="18" fillId="0" borderId="0" xfId="3" applyFont="1"/>
    <xf numFmtId="0" fontId="4" fillId="0" borderId="42" xfId="4" applyFont="1" applyFill="1" applyBorder="1"/>
    <xf numFmtId="0" fontId="4" fillId="0" borderId="41" xfId="0" applyFont="1" applyBorder="1" applyAlignment="1">
      <alignment vertical="center" wrapText="1"/>
    </xf>
    <xf numFmtId="0" fontId="0" fillId="9" borderId="0" xfId="0" applyFill="1"/>
    <xf numFmtId="9" fontId="0" fillId="0" borderId="0" xfId="0" applyNumberFormat="1"/>
    <xf numFmtId="10" fontId="0" fillId="0" borderId="0" xfId="0" applyNumberFormat="1"/>
    <xf numFmtId="167" fontId="0" fillId="0" borderId="0" xfId="0" applyNumberFormat="1"/>
    <xf numFmtId="9" fontId="0" fillId="0" borderId="0" xfId="1" applyFont="1"/>
    <xf numFmtId="1" fontId="6" fillId="14" borderId="0" xfId="0" applyNumberFormat="1" applyFont="1" applyFill="1"/>
    <xf numFmtId="1" fontId="6" fillId="14" borderId="0" xfId="0" applyNumberFormat="1" applyFont="1" applyFill="1" applyAlignment="1">
      <alignment horizontal="center"/>
    </xf>
    <xf numFmtId="0" fontId="6" fillId="3" borderId="44" xfId="0" applyFont="1" applyFill="1" applyBorder="1" applyAlignment="1">
      <alignment vertical="center" wrapText="1"/>
    </xf>
    <xf numFmtId="10" fontId="6" fillId="3" borderId="45" xfId="0" applyNumberFormat="1" applyFont="1" applyFill="1" applyBorder="1" applyAlignment="1">
      <alignment vertical="center" wrapText="1"/>
    </xf>
    <xf numFmtId="1" fontId="6" fillId="14" borderId="0" xfId="1" applyNumberFormat="1" applyFont="1" applyFill="1"/>
    <xf numFmtId="1" fontId="11" fillId="14" borderId="0" xfId="0" applyNumberFormat="1" applyFont="1" applyFill="1" applyAlignment="1">
      <alignment horizontal="right" vertical="top"/>
    </xf>
    <xf numFmtId="39" fontId="11" fillId="14" borderId="0" xfId="0" applyNumberFormat="1" applyFont="1" applyFill="1" applyAlignment="1">
      <alignment vertical="top" wrapText="1"/>
    </xf>
    <xf numFmtId="39" fontId="11" fillId="14" borderId="0" xfId="0" applyNumberFormat="1" applyFont="1" applyFill="1" applyAlignment="1">
      <alignment horizontal="right" vertical="top"/>
    </xf>
    <xf numFmtId="2" fontId="6" fillId="0" borderId="0" xfId="1" applyNumberFormat="1" applyFont="1" applyAlignment="1">
      <alignment vertical="center" wrapText="1"/>
    </xf>
    <xf numFmtId="0" fontId="9" fillId="12" borderId="0" xfId="0" applyFont="1" applyFill="1"/>
    <xf numFmtId="0" fontId="6" fillId="12" borderId="0" xfId="0" applyFont="1" applyFill="1"/>
    <xf numFmtId="0" fontId="4" fillId="14" borderId="42" xfId="4" applyFont="1" applyFill="1" applyBorder="1" applyAlignment="1">
      <alignment vertical="center" wrapText="1"/>
    </xf>
    <xf numFmtId="0" fontId="6" fillId="0" borderId="42" xfId="4" applyFont="1" applyFill="1" applyBorder="1" applyAlignment="1">
      <alignment vertical="center" wrapText="1"/>
    </xf>
    <xf numFmtId="0" fontId="6" fillId="0" borderId="43" xfId="4" applyFont="1" applyFill="1" applyBorder="1"/>
    <xf numFmtId="0" fontId="6" fillId="0" borderId="43" xfId="4" applyFont="1" applyFill="1" applyBorder="1" applyAlignment="1">
      <alignment vertical="center" wrapText="1"/>
    </xf>
    <xf numFmtId="2" fontId="0" fillId="0" borderId="0" xfId="0" applyNumberFormat="1"/>
    <xf numFmtId="1" fontId="0" fillId="0" borderId="0" xfId="0" applyNumberFormat="1"/>
    <xf numFmtId="37" fontId="0" fillId="0" borderId="0" xfId="0" applyNumberFormat="1"/>
    <xf numFmtId="0" fontId="0" fillId="0" borderId="0" xfId="0" applyNumberFormat="1"/>
    <xf numFmtId="0" fontId="9" fillId="0" borderId="0" xfId="0" applyFont="1"/>
    <xf numFmtId="0" fontId="17" fillId="9" borderId="0" xfId="0" applyFont="1" applyFill="1"/>
    <xf numFmtId="0" fontId="9" fillId="18" borderId="0" xfId="0" applyFont="1" applyFill="1"/>
    <xf numFmtId="2" fontId="5" fillId="0" borderId="0" xfId="3" applyNumberFormat="1" applyFont="1"/>
    <xf numFmtId="0" fontId="20" fillId="0" borderId="0" xfId="0" applyFont="1"/>
    <xf numFmtId="1" fontId="0" fillId="0" borderId="0" xfId="0" quotePrefix="1" applyNumberFormat="1"/>
    <xf numFmtId="0" fontId="4" fillId="9" borderId="0" xfId="0" applyFont="1" applyFill="1" applyAlignment="1">
      <alignment horizontal="left"/>
    </xf>
    <xf numFmtId="0" fontId="4" fillId="9" borderId="41" xfId="4" applyFont="1" applyFill="1" applyAlignment="1">
      <alignment horizontal="left"/>
    </xf>
    <xf numFmtId="0" fontId="6" fillId="9" borderId="0" xfId="0" applyFont="1" applyFill="1"/>
    <xf numFmtId="0" fontId="20" fillId="18" borderId="0" xfId="0" applyFont="1" applyFill="1"/>
    <xf numFmtId="0" fontId="6" fillId="9" borderId="46" xfId="4" applyFont="1" applyFill="1" applyBorder="1" applyAlignment="1">
      <alignment horizontal="left"/>
    </xf>
    <xf numFmtId="9" fontId="5" fillId="0" borderId="0" xfId="3" applyNumberFormat="1" applyFont="1"/>
    <xf numFmtId="10" fontId="5" fillId="0" borderId="0" xfId="3" applyNumberFormat="1" applyFont="1"/>
    <xf numFmtId="10" fontId="20" fillId="0" borderId="0" xfId="0" applyNumberFormat="1" applyFont="1"/>
    <xf numFmtId="37" fontId="20" fillId="0" borderId="0" xfId="0" applyNumberFormat="1" applyFont="1"/>
    <xf numFmtId="2" fontId="20" fillId="0" borderId="0" xfId="0" applyNumberFormat="1" applyFont="1"/>
    <xf numFmtId="9" fontId="20" fillId="0" borderId="0" xfId="0" applyNumberFormat="1" applyFont="1"/>
    <xf numFmtId="0" fontId="21" fillId="18" borderId="0" xfId="0" applyFont="1" applyFill="1"/>
    <xf numFmtId="8" fontId="6" fillId="0" borderId="0" xfId="0" applyNumberFormat="1" applyFont="1"/>
    <xf numFmtId="0" fontId="22" fillId="0" borderId="0" xfId="0" applyFont="1" applyAlignment="1">
      <alignment vertical="center"/>
    </xf>
    <xf numFmtId="0" fontId="23" fillId="0" borderId="0" xfId="0" applyFont="1" applyAlignment="1">
      <alignment vertical="center"/>
    </xf>
    <xf numFmtId="0" fontId="0" fillId="0" borderId="0" xfId="0" applyAlignment="1">
      <alignment horizontal="left" vertical="center" indent="1"/>
    </xf>
    <xf numFmtId="0" fontId="24" fillId="0" borderId="0" xfId="0" applyFont="1" applyAlignment="1">
      <alignment vertical="center"/>
    </xf>
    <xf numFmtId="0" fontId="25" fillId="0" borderId="0" xfId="5" applyFont="1"/>
    <xf numFmtId="0" fontId="0" fillId="0" borderId="0" xfId="0" applyAlignment="1">
      <alignment vertical="center" wrapText="1"/>
    </xf>
    <xf numFmtId="0" fontId="9" fillId="10" borderId="0" xfId="0" applyFont="1" applyFill="1"/>
    <xf numFmtId="0" fontId="9" fillId="19" borderId="0" xfId="0" applyFont="1" applyFill="1"/>
    <xf numFmtId="10" fontId="0" fillId="0" borderId="0" xfId="0" applyNumberFormat="1" applyAlignment="1">
      <alignment vertical="center" wrapText="1"/>
    </xf>
    <xf numFmtId="2" fontId="9" fillId="19" borderId="0" xfId="0" applyNumberFormat="1" applyFont="1" applyFill="1" applyAlignment="1">
      <alignment horizontal="center" vertical="center" wrapText="1"/>
    </xf>
    <xf numFmtId="2" fontId="17" fillId="0" borderId="0" xfId="0" applyNumberFormat="1" applyFont="1" applyAlignment="1">
      <alignment horizontal="center" vertical="center" wrapText="1"/>
    </xf>
    <xf numFmtId="2" fontId="9" fillId="19" borderId="0" xfId="0" applyNumberFormat="1" applyFont="1" applyFill="1"/>
    <xf numFmtId="1" fontId="6" fillId="0" borderId="0" xfId="0" applyNumberFormat="1" applyFont="1" applyAlignment="1">
      <alignment vertical="center" wrapText="1"/>
    </xf>
    <xf numFmtId="1" fontId="0" fillId="0" borderId="0" xfId="0" applyNumberFormat="1" applyAlignment="1">
      <alignment vertical="center" wrapText="1"/>
    </xf>
    <xf numFmtId="37" fontId="5" fillId="0" borderId="0" xfId="3" applyNumberFormat="1" applyFont="1"/>
    <xf numFmtId="0" fontId="7" fillId="12" borderId="26" xfId="0" applyFont="1" applyFill="1" applyBorder="1" applyAlignment="1">
      <alignment horizontal="center" vertical="center" readingOrder="1"/>
    </xf>
    <xf numFmtId="0" fontId="7" fillId="12" borderId="18" xfId="0" applyFont="1" applyFill="1" applyBorder="1" applyAlignment="1">
      <alignment horizontal="center" vertical="center" readingOrder="1"/>
    </xf>
    <xf numFmtId="0" fontId="7" fillId="12" borderId="19" xfId="0" applyFont="1" applyFill="1" applyBorder="1" applyAlignment="1">
      <alignment horizontal="center" vertical="center" readingOrder="1"/>
    </xf>
    <xf numFmtId="166" fontId="5" fillId="0" borderId="0" xfId="3" applyNumberFormat="1" applyFont="1"/>
    <xf numFmtId="0" fontId="4" fillId="0" borderId="0" xfId="0" applyFont="1" applyAlignment="1">
      <alignment horizontal="left" vertical="center" wrapText="1"/>
    </xf>
    <xf numFmtId="0" fontId="6" fillId="0" borderId="0" xfId="0" applyFont="1" applyAlignment="1">
      <alignment horizontal="left" vertical="center" wrapText="1"/>
    </xf>
    <xf numFmtId="166" fontId="6" fillId="0" borderId="0" xfId="0" applyNumberFormat="1" applyFont="1" applyAlignment="1">
      <alignment horizontal="left" vertical="center" wrapText="1"/>
    </xf>
    <xf numFmtId="2" fontId="6" fillId="0" borderId="0" xfId="0" applyNumberFormat="1" applyFont="1" applyAlignment="1">
      <alignment horizontal="left" vertical="center" wrapText="1"/>
    </xf>
    <xf numFmtId="2" fontId="5" fillId="0" borderId="0" xfId="3" applyNumberFormat="1" applyFont="1" applyAlignment="1">
      <alignment horizontal="left"/>
    </xf>
    <xf numFmtId="8" fontId="5" fillId="0" borderId="0" xfId="3" applyNumberFormat="1" applyFont="1"/>
  </cellXfs>
  <cellStyles count="6">
    <cellStyle name="Currency" xfId="2" builtinId="4"/>
    <cellStyle name="Hyperlink" xfId="5" builtinId="8"/>
    <cellStyle name="Normal" xfId="0" builtinId="0"/>
    <cellStyle name="Normal 3" xfId="3" xr:uid="{1A5E00A7-9058-48D7-AFBF-A9E27695900B}"/>
    <cellStyle name="Note" xfId="4" builtinId="10"/>
    <cellStyle name="Percent" xfId="1" builtinId="5"/>
  </cellStyles>
  <dxfs count="415">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numFmt numFmtId="2" formatCode="0.00"/>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numFmt numFmtId="2" formatCode="0.00"/>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numFmt numFmtId="2" formatCode="0.00"/>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numFmt numFmtId="2" formatCode="0.00"/>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numFmt numFmtId="2" formatCode="0.00"/>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numFmt numFmtId="2" formatCode="0.00"/>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numFmt numFmtId="2" formatCode="0.00"/>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numFmt numFmtId="2" formatCode="0.00"/>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numFmt numFmtId="2" formatCode="0.00"/>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numFmt numFmtId="2" formatCode="0.00"/>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strike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numFmt numFmtId="3" formatCode="#,##0"/>
    </dxf>
    <dxf>
      <font>
        <strike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strike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strike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strike val="0"/>
        <outline val="0"/>
        <shadow val="0"/>
        <u val="none"/>
        <vertAlign val="baseline"/>
        <sz val="11"/>
        <color theme="1"/>
        <name val="Bold"/>
        <scheme val="none"/>
      </font>
    </dxf>
    <dxf>
      <font>
        <b/>
        <i val="0"/>
        <strike val="0"/>
        <condense val="0"/>
        <extend val="0"/>
        <outline val="0"/>
        <shadow val="0"/>
        <u val="none"/>
        <vertAlign val="baseline"/>
        <sz val="11"/>
        <color theme="1"/>
        <name val="Bold"/>
        <scheme val="none"/>
      </font>
    </dxf>
    <dxf>
      <font>
        <b/>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numFmt numFmtId="0" formatCode="General"/>
    </dxf>
    <dxf>
      <numFmt numFmtId="13" formatCode="0%"/>
    </dxf>
    <dxf>
      <numFmt numFmtId="13" formatCode="0%"/>
    </dxf>
    <dxf>
      <font>
        <strike val="0"/>
        <outline val="0"/>
        <shadow val="0"/>
        <u val="none"/>
        <vertAlign val="baseline"/>
        <sz val="11"/>
        <color theme="1"/>
        <name val="Bold"/>
        <scheme val="none"/>
      </font>
    </dxf>
    <dxf>
      <font>
        <b/>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numFmt numFmtId="13" formatCode="0%"/>
      <alignment horizontal="general" vertical="center" textRotation="0" wrapText="1" indent="0" justifyLastLine="0" shrinkToFit="0" readingOrder="0"/>
    </dxf>
    <dxf>
      <font>
        <strike val="0"/>
        <outline val="0"/>
        <shadow val="0"/>
        <u val="none"/>
        <vertAlign val="baseline"/>
        <sz val="11"/>
        <color theme="1"/>
        <name val="Bold"/>
        <scheme val="none"/>
      </font>
      <numFmt numFmtId="13" formatCode="0%"/>
      <alignment horizontal="general" vertical="center" textRotation="0" wrapText="1" indent="0" justifyLastLine="0" shrinkToFit="0" readingOrder="0"/>
    </dxf>
    <dxf>
      <font>
        <strike val="0"/>
        <outline val="0"/>
        <shadow val="0"/>
        <u val="none"/>
        <vertAlign val="baseline"/>
        <sz val="11"/>
        <color theme="1"/>
        <name val="Bold"/>
        <scheme val="none"/>
      </font>
      <numFmt numFmtId="13" formatCode="0%"/>
      <alignment horizontal="general" vertical="center" textRotation="0" wrapText="1" indent="0" justifyLastLine="0" shrinkToFit="0" readingOrder="0"/>
    </dxf>
    <dxf>
      <font>
        <strike val="0"/>
        <outline val="0"/>
        <shadow val="0"/>
        <u val="none"/>
        <vertAlign val="baseline"/>
        <sz val="11"/>
        <color theme="1"/>
        <name val="Bold"/>
        <scheme val="none"/>
      </font>
      <numFmt numFmtId="13" formatCode="0%"/>
      <alignment horizontal="general" vertical="center" textRotation="0" wrapText="1" indent="0" justifyLastLine="0" shrinkToFit="0" readingOrder="0"/>
    </dxf>
    <dxf>
      <font>
        <strike val="0"/>
        <outline val="0"/>
        <shadow val="0"/>
        <u val="none"/>
        <vertAlign val="baseline"/>
        <sz val="11"/>
        <color theme="1"/>
        <name val="Bold"/>
        <scheme val="none"/>
      </font>
      <alignment horizontal="general" vertical="center" textRotation="0" wrapText="1" indent="0" justifyLastLine="0" shrinkToFit="0" readingOrder="0"/>
    </dxf>
    <dxf>
      <font>
        <strike val="0"/>
        <outline val="0"/>
        <shadow val="0"/>
        <u val="none"/>
        <vertAlign val="baseline"/>
        <sz val="11"/>
        <color theme="1"/>
        <name val="Bold"/>
        <scheme val="none"/>
      </font>
      <alignment horizontal="general" vertical="center" textRotation="0" wrapText="1" indent="0" justifyLastLine="0" shrinkToFit="0" readingOrder="0"/>
    </dxf>
    <dxf>
      <font>
        <b/>
        <i val="0"/>
        <strike val="0"/>
        <condense val="0"/>
        <extend val="0"/>
        <outline val="0"/>
        <shadow val="0"/>
        <u val="none"/>
        <vertAlign val="baseline"/>
        <sz val="11"/>
        <color theme="1"/>
        <name val="Bold"/>
        <scheme val="none"/>
      </font>
      <alignment horizontal="center" vertical="center" textRotation="0" wrapText="1" indent="0" justifyLastLine="0" shrinkToFit="0" readingOrder="0"/>
    </dxf>
    <dxf>
      <font>
        <strike val="0"/>
        <outline val="0"/>
        <shadow val="0"/>
        <u val="none"/>
        <vertAlign val="baseline"/>
        <sz val="11"/>
        <color theme="1"/>
        <name val="Bold"/>
        <scheme val="none"/>
      </font>
      <numFmt numFmtId="13" formatCode="0%"/>
      <alignment horizontal="general" vertical="center" textRotation="0" wrapText="1" indent="0" justifyLastLine="0" shrinkToFit="0" readingOrder="0"/>
    </dxf>
    <dxf>
      <font>
        <strike val="0"/>
        <outline val="0"/>
        <shadow val="0"/>
        <u val="none"/>
        <vertAlign val="baseline"/>
        <sz val="11"/>
        <color theme="1"/>
        <name val="Bold"/>
        <scheme val="none"/>
      </font>
      <numFmt numFmtId="13" formatCode="0%"/>
      <alignment horizontal="general" vertical="center" textRotation="0" wrapText="1" indent="0" justifyLastLine="0" shrinkToFit="0" readingOrder="0"/>
    </dxf>
    <dxf>
      <font>
        <strike val="0"/>
        <outline val="0"/>
        <shadow val="0"/>
        <u val="none"/>
        <vertAlign val="baseline"/>
        <sz val="11"/>
        <color theme="1"/>
        <name val="Bold"/>
        <scheme val="none"/>
      </font>
      <numFmt numFmtId="13" formatCode="0%"/>
      <alignment horizontal="general" vertical="center" textRotation="0" wrapText="1" indent="0" justifyLastLine="0" shrinkToFit="0" readingOrder="0"/>
    </dxf>
    <dxf>
      <font>
        <strike val="0"/>
        <outline val="0"/>
        <shadow val="0"/>
        <u val="none"/>
        <vertAlign val="baseline"/>
        <sz val="11"/>
        <color theme="1"/>
        <name val="Bold"/>
        <scheme val="none"/>
      </font>
      <numFmt numFmtId="14" formatCode="0.00%"/>
      <alignment horizontal="general" vertical="center" textRotation="0" wrapText="1" indent="0" justifyLastLine="0" shrinkToFit="0" readingOrder="0"/>
    </dxf>
    <dxf>
      <font>
        <strike val="0"/>
        <outline val="0"/>
        <shadow val="0"/>
        <u val="none"/>
        <vertAlign val="baseline"/>
        <sz val="11"/>
        <color theme="1"/>
        <name val="Bold"/>
        <scheme val="none"/>
      </font>
      <numFmt numFmtId="13" formatCode="0%"/>
      <alignment horizontal="general" vertical="center" textRotation="0" wrapText="1" indent="0" justifyLastLine="0" shrinkToFit="0" readingOrder="0"/>
    </dxf>
    <dxf>
      <font>
        <strike val="0"/>
        <outline val="0"/>
        <shadow val="0"/>
        <u val="none"/>
        <vertAlign val="baseline"/>
        <sz val="11"/>
        <color theme="1"/>
        <name val="Bold"/>
        <scheme val="none"/>
      </font>
      <numFmt numFmtId="13" formatCode="0%"/>
      <alignment horizontal="general" vertical="center" textRotation="0" wrapText="1" indent="0" justifyLastLine="0" shrinkToFit="0" readingOrder="0"/>
    </dxf>
    <dxf>
      <font>
        <strike val="0"/>
        <outline val="0"/>
        <shadow val="0"/>
        <u val="none"/>
        <vertAlign val="baseline"/>
        <sz val="11"/>
        <color theme="1"/>
        <name val="Bold"/>
        <scheme val="none"/>
      </font>
      <numFmt numFmtId="13" formatCode="0%"/>
      <alignment horizontal="general" vertical="center" textRotation="0" wrapText="1" indent="0" justifyLastLine="0" shrinkToFit="0" readingOrder="0"/>
    </dxf>
    <dxf>
      <font>
        <strike val="0"/>
        <outline val="0"/>
        <shadow val="0"/>
        <u val="none"/>
        <vertAlign val="baseline"/>
        <sz val="11"/>
        <color theme="1"/>
        <name val="Bold"/>
        <scheme val="none"/>
      </font>
      <alignment horizontal="general" vertical="center" textRotation="0" wrapText="1" indent="0" justifyLastLine="0" shrinkToFit="0" readingOrder="0"/>
    </dxf>
    <dxf>
      <font>
        <strike val="0"/>
        <outline val="0"/>
        <shadow val="0"/>
        <u val="none"/>
        <vertAlign val="baseline"/>
        <sz val="11"/>
        <color theme="1"/>
        <name val="Bold"/>
        <scheme val="none"/>
      </font>
      <alignment horizontal="general" vertical="center" textRotation="0" wrapText="1" indent="0" justifyLastLine="0" shrinkToFit="0" readingOrder="0"/>
    </dxf>
    <dxf>
      <font>
        <b/>
        <i val="0"/>
        <strike val="0"/>
        <condense val="0"/>
        <extend val="0"/>
        <outline val="0"/>
        <shadow val="0"/>
        <u val="none"/>
        <vertAlign val="baseline"/>
        <sz val="11"/>
        <color theme="1"/>
        <name val="Bold"/>
        <scheme val="none"/>
      </font>
      <alignment horizontal="center" vertical="center" textRotation="0" wrapText="1" indent="0" justifyLastLine="0" shrinkToFit="0" readingOrder="0"/>
    </dxf>
    <dxf>
      <font>
        <strike val="0"/>
        <outline val="0"/>
        <shadow val="0"/>
        <u val="none"/>
        <vertAlign val="baseline"/>
        <sz val="11"/>
        <color theme="1"/>
        <name val="Bold"/>
        <scheme val="none"/>
      </font>
      <numFmt numFmtId="10" formatCode="&quot;$&quot;#,##0_);[Red]\(&quot;$&quot;#,##0\)"/>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alignment horizontal="general" vertical="center" textRotation="0" wrapText="1" indent="0" justifyLastLine="0" shrinkToFit="0" readingOrder="0"/>
    </dxf>
    <dxf>
      <font>
        <strike val="0"/>
        <outline val="0"/>
        <shadow val="0"/>
        <u val="none"/>
        <vertAlign val="baseline"/>
        <sz val="11"/>
        <color theme="1"/>
        <name val="Bold"/>
        <scheme val="none"/>
      </font>
      <alignment horizontal="general" vertical="center" textRotation="0" wrapText="1" indent="0" justifyLastLine="0" shrinkToFit="0" readingOrder="0"/>
    </dxf>
    <dxf>
      <font>
        <strike val="0"/>
        <outline val="0"/>
        <shadow val="0"/>
        <u val="none"/>
        <vertAlign val="baseline"/>
        <sz val="11"/>
        <color theme="1"/>
        <name val="Bold"/>
        <scheme val="none"/>
      </font>
      <alignment horizontal="general" vertical="center" textRotation="0" wrapText="1" indent="0" justifyLastLine="0" shrinkToFit="0" readingOrder="0"/>
    </dxf>
    <dxf>
      <font>
        <strike val="0"/>
        <outline val="0"/>
        <shadow val="0"/>
        <u val="none"/>
        <vertAlign val="baseline"/>
        <sz val="11"/>
        <color theme="1"/>
        <name val="Bold"/>
        <scheme val="none"/>
      </font>
      <numFmt numFmtId="13" formatCode="0%"/>
      <alignment horizontal="general" vertical="center" textRotation="0" wrapText="1" indent="0" justifyLastLine="0" shrinkToFit="0" readingOrder="0"/>
    </dxf>
    <dxf>
      <font>
        <strike val="0"/>
        <outline val="0"/>
        <shadow val="0"/>
        <u val="none"/>
        <vertAlign val="baseline"/>
        <sz val="11"/>
        <color theme="1"/>
        <name val="Bold"/>
        <scheme val="none"/>
      </font>
      <numFmt numFmtId="13" formatCode="0%"/>
      <alignment horizontal="general" vertical="center" textRotation="0" wrapText="1" indent="0" justifyLastLine="0" shrinkToFit="0" readingOrder="0"/>
    </dxf>
    <dxf>
      <font>
        <b/>
        <i val="0"/>
        <strike val="0"/>
        <condense val="0"/>
        <extend val="0"/>
        <outline val="0"/>
        <shadow val="0"/>
        <u val="none"/>
        <vertAlign val="baseline"/>
        <sz val="11"/>
        <color theme="1"/>
        <name val="Bold"/>
        <scheme val="none"/>
      </font>
      <numFmt numFmtId="13" formatCode="0%"/>
      <alignment horizontal="center" vertical="center" textRotation="0" wrapText="1" indent="0" justifyLastLine="0" shrinkToFit="0" readingOrder="0"/>
    </dxf>
    <dxf>
      <font>
        <strike val="0"/>
        <outline val="0"/>
        <shadow val="0"/>
        <u val="none"/>
        <vertAlign val="baseline"/>
        <sz val="11"/>
        <color theme="1"/>
        <name val="Bold"/>
        <scheme val="none"/>
      </font>
      <numFmt numFmtId="14" formatCode="0.00%"/>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b/>
        <i val="0"/>
        <strike val="0"/>
        <condense val="0"/>
        <extend val="0"/>
        <outline val="0"/>
        <shadow val="0"/>
        <u val="none"/>
        <vertAlign val="baseline"/>
        <sz val="11"/>
        <color theme="1"/>
        <name val="Bold"/>
        <scheme val="none"/>
      </font>
    </dxf>
    <dxf>
      <font>
        <strike val="0"/>
        <outline val="0"/>
        <shadow val="0"/>
        <u val="none"/>
        <vertAlign val="baseline"/>
        <sz val="11"/>
        <color theme="1"/>
        <name val="Bold"/>
        <scheme val="none"/>
      </font>
      <numFmt numFmtId="2" formatCode="0.00"/>
    </dxf>
    <dxf>
      <font>
        <b/>
        <i val="0"/>
        <strike val="0"/>
        <condense val="0"/>
        <extend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numFmt numFmtId="166" formatCode="&quot;$&quot;#,##0.00"/>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b/>
        <strike val="0"/>
        <outline val="0"/>
        <shadow val="0"/>
        <u val="none"/>
        <vertAlign val="baseline"/>
        <sz val="11"/>
        <color theme="1"/>
        <name val="Bold"/>
        <scheme val="none"/>
      </font>
    </dxf>
    <dxf>
      <font>
        <b/>
        <i val="0"/>
        <strike val="0"/>
        <condense val="0"/>
        <extend val="0"/>
        <outline val="0"/>
        <shadow val="0"/>
        <u val="none"/>
        <vertAlign val="baseline"/>
        <sz val="11"/>
        <color theme="1"/>
        <name val="Aptos Narrow"/>
        <family val="2"/>
        <scheme val="minor"/>
      </font>
    </dxf>
    <dxf>
      <numFmt numFmtId="14" formatCode="0.00%"/>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Bold"/>
        <scheme val="none"/>
      </font>
    </dxf>
    <dxf>
      <numFmt numFmtId="1" formatCode="0"/>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strike val="0"/>
        <outline val="0"/>
        <shadow val="0"/>
        <u val="none"/>
        <vertAlign val="baseline"/>
        <sz val="11"/>
        <name val="Bold"/>
        <scheme val="none"/>
      </font>
    </dxf>
    <dxf>
      <font>
        <strike val="0"/>
        <outline val="0"/>
        <shadow val="0"/>
        <u val="none"/>
        <vertAlign val="baseline"/>
        <sz val="11"/>
        <name val="Bold"/>
        <scheme val="none"/>
      </font>
    </dxf>
    <dxf>
      <font>
        <strike val="0"/>
        <outline val="0"/>
        <shadow val="0"/>
        <u val="none"/>
        <vertAlign val="baseline"/>
        <sz val="11"/>
        <name val="Bold"/>
        <scheme val="none"/>
      </font>
      <numFmt numFmtId="14" formatCode="0.00%"/>
    </dxf>
    <dxf>
      <font>
        <strike val="0"/>
        <outline val="0"/>
        <shadow val="0"/>
        <u val="none"/>
        <vertAlign val="baseline"/>
        <sz val="11"/>
        <name val="Bold"/>
        <scheme val="none"/>
      </font>
    </dxf>
    <dxf>
      <font>
        <strike val="0"/>
        <outline val="0"/>
        <shadow val="0"/>
        <u val="none"/>
        <vertAlign val="baseline"/>
        <sz val="11"/>
        <name val="Bold"/>
        <scheme val="none"/>
      </font>
      <numFmt numFmtId="14" formatCode="0.00%"/>
    </dxf>
    <dxf>
      <font>
        <strike val="0"/>
        <outline val="0"/>
        <shadow val="0"/>
        <u val="none"/>
        <vertAlign val="baseline"/>
        <sz val="11"/>
        <name val="Bold"/>
        <scheme val="none"/>
      </font>
    </dxf>
    <dxf>
      <font>
        <strike val="0"/>
        <outline val="0"/>
        <shadow val="0"/>
        <u val="none"/>
        <vertAlign val="baseline"/>
        <sz val="11"/>
        <name val="Bold"/>
        <scheme val="none"/>
      </font>
      <alignment horizontal="right" vertical="bottom" textRotation="0" wrapText="0" indent="0" justifyLastLine="0" shrinkToFit="0" readingOrder="0"/>
    </dxf>
    <dxf>
      <font>
        <strike val="0"/>
        <outline val="0"/>
        <shadow val="0"/>
        <u val="none"/>
        <vertAlign val="baseline"/>
        <sz val="11"/>
        <name val="Bold"/>
        <scheme val="none"/>
      </font>
    </dxf>
    <dxf>
      <font>
        <strike val="0"/>
        <outline val="0"/>
        <shadow val="0"/>
        <u val="none"/>
        <vertAlign val="baseline"/>
        <sz val="11"/>
        <name val="Bold"/>
        <scheme val="none"/>
      </font>
    </dxf>
    <dxf>
      <font>
        <strike val="0"/>
        <outline val="0"/>
        <shadow val="0"/>
        <u val="none"/>
        <vertAlign val="baseline"/>
        <sz val="11"/>
        <name val="Bold"/>
        <scheme val="none"/>
      </font>
    </dxf>
    <dxf>
      <font>
        <strike val="0"/>
        <outline val="0"/>
        <shadow val="0"/>
        <u val="none"/>
        <vertAlign val="baseline"/>
        <sz val="11"/>
        <name val="Bold"/>
        <scheme val="none"/>
      </font>
    </dxf>
    <dxf>
      <font>
        <strike val="0"/>
        <outline val="0"/>
        <shadow val="0"/>
        <u val="none"/>
        <vertAlign val="baseline"/>
        <sz val="11"/>
        <name val="Bold"/>
        <scheme val="none"/>
      </font>
    </dxf>
    <dxf>
      <font>
        <strike val="0"/>
        <outline val="0"/>
        <shadow val="0"/>
        <u val="none"/>
        <vertAlign val="baseline"/>
        <sz val="11"/>
        <name val="Bold"/>
        <scheme val="none"/>
      </font>
    </dxf>
    <dxf>
      <font>
        <strike val="0"/>
        <outline val="0"/>
        <shadow val="0"/>
        <u val="none"/>
        <vertAlign val="baseline"/>
        <sz val="11"/>
        <name val="Bold"/>
        <scheme val="none"/>
      </font>
    </dxf>
    <dxf>
      <font>
        <strike val="0"/>
        <outline val="0"/>
        <shadow val="0"/>
        <u val="none"/>
        <vertAlign val="baseline"/>
        <sz val="11"/>
        <name val="Bold"/>
        <scheme val="none"/>
      </font>
    </dxf>
    <dxf>
      <font>
        <strike val="0"/>
        <outline val="0"/>
        <shadow val="0"/>
        <u val="none"/>
        <vertAlign val="baseline"/>
        <sz val="11"/>
        <name val="Bold"/>
        <scheme val="none"/>
      </font>
    </dxf>
    <dxf>
      <font>
        <strike val="0"/>
        <outline val="0"/>
        <shadow val="0"/>
        <u val="none"/>
        <vertAlign val="baseline"/>
        <sz val="11"/>
        <name val="Bold"/>
        <scheme val="none"/>
      </font>
    </dxf>
    <dxf>
      <font>
        <strike val="0"/>
        <outline val="0"/>
        <shadow val="0"/>
        <u val="none"/>
        <vertAlign val="baseline"/>
        <sz val="11"/>
        <name val="Bold"/>
        <scheme val="none"/>
      </font>
    </dxf>
    <dxf>
      <font>
        <strike val="0"/>
        <outline val="0"/>
        <shadow val="0"/>
        <u val="none"/>
        <vertAlign val="baseline"/>
        <sz val="11"/>
        <name val="Bold"/>
        <scheme val="none"/>
      </font>
    </dxf>
    <dxf>
      <font>
        <strike val="0"/>
        <outline val="0"/>
        <shadow val="0"/>
        <u val="none"/>
        <vertAlign val="baseline"/>
        <sz val="11"/>
        <name val="Bold"/>
        <scheme val="none"/>
      </font>
    </dxf>
    <dxf>
      <font>
        <b val="0"/>
        <i val="0"/>
        <strike val="0"/>
        <condense val="0"/>
        <extend val="0"/>
        <outline val="0"/>
        <shadow val="0"/>
        <u val="none"/>
        <vertAlign val="baseline"/>
        <sz val="11"/>
        <color theme="1"/>
        <name val="Bold"/>
        <scheme val="none"/>
      </font>
      <fill>
        <patternFill patternType="solid">
          <fgColor indexed="64"/>
          <bgColor theme="0"/>
        </patternFill>
      </fill>
    </dxf>
    <dxf>
      <font>
        <b val="0"/>
        <i val="0"/>
        <strike val="0"/>
        <condense val="0"/>
        <extend val="0"/>
        <outline val="0"/>
        <shadow val="0"/>
        <u val="none"/>
        <vertAlign val="baseline"/>
        <sz val="11"/>
        <color theme="1"/>
        <name val="Bold"/>
        <scheme val="none"/>
      </font>
    </dxf>
    <dxf>
      <font>
        <strike val="0"/>
        <outline val="0"/>
        <shadow val="0"/>
        <u val="none"/>
        <vertAlign val="baseline"/>
        <sz val="11"/>
        <name val="Bold"/>
        <scheme val="none"/>
      </font>
      <fill>
        <patternFill patternType="solid">
          <fgColor indexed="64"/>
          <bgColor theme="0"/>
        </patternFill>
      </fill>
    </dxf>
    <dxf>
      <font>
        <b val="0"/>
        <i val="0"/>
        <strike val="0"/>
        <condense val="0"/>
        <extend val="0"/>
        <outline val="0"/>
        <shadow val="0"/>
        <u val="none"/>
        <vertAlign val="baseline"/>
        <sz val="11"/>
        <color theme="1"/>
        <name val="Bold"/>
        <scheme val="none"/>
      </font>
      <fill>
        <patternFill patternType="solid">
          <fgColor indexed="64"/>
          <bgColor theme="0"/>
        </patternFill>
      </fill>
    </dxf>
    <dxf>
      <font>
        <strike val="0"/>
        <outline val="0"/>
        <shadow val="0"/>
        <u val="none"/>
        <vertAlign val="baseline"/>
        <sz val="11"/>
        <name val="Bold"/>
        <scheme val="none"/>
      </font>
    </dxf>
    <dxf>
      <font>
        <b/>
        <i val="0"/>
        <strike val="0"/>
        <condense val="0"/>
        <extend val="0"/>
        <outline val="0"/>
        <shadow val="0"/>
        <u val="none"/>
        <vertAlign val="baseline"/>
        <sz val="11"/>
        <color theme="1"/>
        <name val="Bold"/>
        <scheme val="none"/>
      </font>
      <alignment horizontal="right" vertical="bottom" textRotation="0" wrapText="0" indent="0" justifyLastLine="0" shrinkToFit="0" readingOrder="0"/>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numFmt numFmtId="4" formatCode="#,##0.00"/>
    </dxf>
    <dxf>
      <font>
        <strike val="0"/>
        <outline val="0"/>
        <shadow val="0"/>
        <u val="none"/>
        <vertAlign val="baseline"/>
        <sz val="11"/>
        <color theme="1"/>
        <name val="Bold"/>
        <scheme val="none"/>
      </font>
      <numFmt numFmtId="168" formatCode="dd/mm/yyyy"/>
    </dxf>
    <dxf>
      <font>
        <strike val="0"/>
        <outline val="0"/>
        <shadow val="0"/>
        <u val="none"/>
        <vertAlign val="baseline"/>
        <sz val="11"/>
        <color theme="1"/>
        <name val="Bold"/>
        <scheme val="none"/>
      </font>
    </dxf>
    <dxf>
      <font>
        <b/>
        <i val="0"/>
        <strike val="0"/>
        <condense val="0"/>
        <extend val="0"/>
        <outline val="0"/>
        <shadow val="0"/>
        <u val="none"/>
        <vertAlign val="baseline"/>
        <sz val="11"/>
        <color theme="1"/>
        <name val="Bold"/>
        <scheme val="none"/>
      </font>
      <alignment horizontal="general" vertical="center" textRotation="0" wrapText="1" indent="0" justifyLastLine="0" shrinkToFit="0" readingOrder="0"/>
    </dxf>
    <dxf>
      <font>
        <strike val="0"/>
        <outline val="0"/>
        <shadow val="0"/>
        <u val="none"/>
        <vertAlign val="baseline"/>
        <color theme="1"/>
        <name val="Bold"/>
        <scheme val="none"/>
      </font>
    </dxf>
    <dxf>
      <font>
        <strike val="0"/>
        <outline val="0"/>
        <shadow val="0"/>
        <u val="none"/>
        <vertAlign val="baseline"/>
        <color theme="1"/>
        <name val="Bold"/>
        <scheme val="none"/>
      </font>
    </dxf>
    <dxf>
      <border outline="0">
        <bottom style="thin">
          <color theme="5" tint="0.39997558519241921"/>
        </bottom>
      </border>
    </dxf>
    <dxf>
      <font>
        <strike val="0"/>
        <outline val="0"/>
        <shadow val="0"/>
        <u val="none"/>
        <vertAlign val="baseline"/>
        <color theme="1"/>
        <name val="Bold"/>
        <scheme val="none"/>
      </font>
    </dxf>
    <dxf>
      <font>
        <strike val="0"/>
        <outline val="0"/>
        <shadow val="0"/>
        <u val="none"/>
        <vertAlign val="baseline"/>
        <color theme="1"/>
        <name val="Bold"/>
        <scheme val="none"/>
      </font>
    </dxf>
    <dxf>
      <font>
        <strike val="0"/>
        <outline val="0"/>
        <shadow val="0"/>
        <u val="none"/>
        <vertAlign val="baseline"/>
        <color theme="1"/>
        <name val="Bold"/>
        <scheme val="none"/>
      </font>
      <numFmt numFmtId="0" formatCode="General"/>
    </dxf>
    <dxf>
      <font>
        <strike val="0"/>
        <outline val="0"/>
        <shadow val="0"/>
        <u val="none"/>
        <vertAlign val="baseline"/>
        <color theme="1"/>
        <name val="Bold"/>
        <scheme val="none"/>
      </font>
    </dxf>
    <dxf>
      <font>
        <strike val="0"/>
        <outline val="0"/>
        <shadow val="0"/>
        <u val="none"/>
        <vertAlign val="baseline"/>
        <color theme="1"/>
        <name val="Bold"/>
        <scheme val="none"/>
      </font>
    </dxf>
    <dxf>
      <font>
        <strike val="0"/>
        <outline val="0"/>
        <shadow val="0"/>
        <u val="none"/>
        <vertAlign val="baseline"/>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strike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border outline="0">
        <left style="thin">
          <color rgb="FFB2B2B2"/>
        </left>
      </border>
    </dxf>
    <dxf>
      <font>
        <b/>
        <i val="0"/>
        <strike val="0"/>
        <condense val="0"/>
        <extend val="0"/>
        <outline val="0"/>
        <shadow val="0"/>
        <u val="none"/>
        <vertAlign val="baseline"/>
        <sz val="11"/>
        <color theme="1"/>
        <name val="Bold"/>
        <scheme val="none"/>
      </font>
      <fill>
        <patternFill patternType="none">
          <fgColor indexed="64"/>
          <bgColor auto="1"/>
        </patternFill>
      </fill>
      <alignment horizontal="general" vertical="center" textRotation="0" wrapText="1" indent="0" justifyLastLine="0" shrinkToFit="0" readingOrder="0"/>
      <border diagonalUp="0" diagonalDown="0" outline="0">
        <left/>
        <right style="thin">
          <color rgb="FFB2B2B2"/>
        </right>
        <top style="thin">
          <color rgb="FFB2B2B2"/>
        </top>
        <bottom/>
      </border>
    </dxf>
    <dxf>
      <font>
        <b val="0"/>
        <i val="0"/>
        <strike val="0"/>
        <condense val="0"/>
        <extend val="0"/>
        <outline val="0"/>
        <shadow val="0"/>
        <u val="none"/>
        <vertAlign val="baseline"/>
        <sz val="11"/>
        <color theme="1"/>
        <name val="Bold"/>
        <scheme val="none"/>
      </font>
    </dxf>
    <dxf>
      <font>
        <b val="0"/>
        <i val="0"/>
        <strike val="0"/>
        <condense val="0"/>
        <extend val="0"/>
        <outline val="0"/>
        <shadow val="0"/>
        <u val="none"/>
        <vertAlign val="baseline"/>
        <sz val="11"/>
        <color theme="1"/>
        <name val="Bold"/>
        <scheme val="none"/>
      </font>
    </dxf>
    <dxf>
      <font>
        <strike val="0"/>
        <outline val="0"/>
        <shadow val="0"/>
        <u val="none"/>
        <vertAlign val="baseline"/>
        <sz val="11"/>
        <name val="Bold"/>
        <scheme val="none"/>
      </font>
    </dxf>
    <dxf>
      <font>
        <strike val="0"/>
        <outline val="0"/>
        <shadow val="0"/>
        <u val="none"/>
        <vertAlign val="baseline"/>
        <sz val="11"/>
        <name val="Bold"/>
        <scheme val="none"/>
      </font>
      <alignment horizontal="right" vertical="bottom" textRotation="0" wrapText="0" indent="0" justifyLastLine="0" shrinkToFit="0" readingOrder="0"/>
    </dxf>
    <dxf>
      <font>
        <strike val="0"/>
        <outline val="0"/>
        <shadow val="0"/>
        <u val="none"/>
        <vertAlign val="baseline"/>
        <sz val="11"/>
        <name val="Bold"/>
        <scheme val="none"/>
      </font>
    </dxf>
    <dxf>
      <font>
        <strike val="0"/>
        <outline val="0"/>
        <shadow val="0"/>
        <u val="none"/>
        <vertAlign val="baseline"/>
        <sz val="11"/>
        <name val="Bold"/>
        <scheme val="none"/>
      </font>
    </dxf>
    <dxf>
      <font>
        <strike val="0"/>
        <outline val="0"/>
        <shadow val="0"/>
        <u val="none"/>
        <vertAlign val="baseline"/>
        <sz val="11"/>
        <name val="Bold"/>
        <scheme val="none"/>
      </font>
      <numFmt numFmtId="13" formatCode="0%"/>
    </dxf>
    <dxf>
      <font>
        <strike val="0"/>
        <outline val="0"/>
        <shadow val="0"/>
        <u val="none"/>
        <vertAlign val="baseline"/>
        <sz val="11"/>
        <name val="Bold"/>
        <scheme val="none"/>
      </font>
      <numFmt numFmtId="13" formatCode="0%"/>
    </dxf>
    <dxf>
      <font>
        <strike val="0"/>
        <outline val="0"/>
        <shadow val="0"/>
        <u val="none"/>
        <vertAlign val="baseline"/>
        <sz val="11"/>
        <name val="Bold"/>
        <scheme val="none"/>
      </font>
      <numFmt numFmtId="13" formatCode="0%"/>
    </dxf>
    <dxf>
      <font>
        <strike val="0"/>
        <outline val="0"/>
        <shadow val="0"/>
        <u val="none"/>
        <vertAlign val="baseline"/>
        <sz val="11"/>
        <name val="Bold"/>
        <scheme val="none"/>
      </font>
      <numFmt numFmtId="13" formatCode="0%"/>
    </dxf>
    <dxf>
      <font>
        <strike val="0"/>
        <outline val="0"/>
        <shadow val="0"/>
        <u val="none"/>
        <vertAlign val="baseline"/>
        <sz val="11"/>
        <name val="Bold"/>
        <scheme val="none"/>
      </font>
      <numFmt numFmtId="13" formatCode="0%"/>
    </dxf>
    <dxf>
      <font>
        <strike val="0"/>
        <outline val="0"/>
        <shadow val="0"/>
        <u val="none"/>
        <vertAlign val="baseline"/>
        <sz val="11"/>
        <name val="Bold"/>
        <scheme val="none"/>
      </font>
    </dxf>
    <dxf>
      <font>
        <strike val="0"/>
        <outline val="0"/>
        <shadow val="0"/>
        <u val="none"/>
        <vertAlign val="baseline"/>
        <sz val="11"/>
        <name val="Bold"/>
        <scheme val="none"/>
      </font>
    </dxf>
    <dxf>
      <font>
        <strike val="0"/>
        <outline val="0"/>
        <shadow val="0"/>
        <u val="none"/>
        <vertAlign val="baseline"/>
        <sz val="11"/>
        <name val="Bold"/>
        <scheme val="none"/>
      </font>
    </dxf>
    <dxf>
      <font>
        <strike val="0"/>
        <outline val="0"/>
        <shadow val="0"/>
        <u val="none"/>
        <vertAlign val="baseline"/>
        <sz val="11"/>
        <name val="Bold"/>
        <scheme val="none"/>
      </font>
    </dxf>
    <dxf>
      <font>
        <strike val="0"/>
        <outline val="0"/>
        <shadow val="0"/>
        <u val="none"/>
        <vertAlign val="baseline"/>
        <sz val="11"/>
        <name val="Bold"/>
        <scheme val="none"/>
      </font>
    </dxf>
    <dxf>
      <font>
        <strike val="0"/>
        <outline val="0"/>
        <shadow val="0"/>
        <u val="none"/>
        <vertAlign val="baseline"/>
        <sz val="11"/>
        <name val="Bold"/>
        <scheme val="none"/>
      </font>
    </dxf>
    <dxf>
      <font>
        <strike val="0"/>
        <outline val="0"/>
        <shadow val="0"/>
        <u val="none"/>
        <vertAlign val="baseline"/>
        <sz val="11"/>
        <name val="Bold"/>
        <scheme val="none"/>
      </font>
    </dxf>
    <dxf>
      <font>
        <strike val="0"/>
        <outline val="0"/>
        <shadow val="0"/>
        <u val="none"/>
        <vertAlign val="baseline"/>
        <sz val="11"/>
        <name val="Bold"/>
        <scheme val="none"/>
      </font>
      <fill>
        <patternFill>
          <bgColor rgb="FF00B050"/>
        </patternFill>
      </fill>
    </dxf>
    <dxf>
      <font>
        <strike val="0"/>
        <outline val="0"/>
        <shadow val="0"/>
        <u val="none"/>
        <vertAlign val="baseline"/>
        <sz val="11"/>
        <name val="Bold"/>
        <scheme val="none"/>
      </font>
      <fill>
        <patternFill>
          <bgColor rgb="FF00B050"/>
        </patternFill>
      </fill>
    </dxf>
    <dxf>
      <font>
        <strike val="0"/>
        <outline val="0"/>
        <shadow val="0"/>
        <u val="none"/>
        <vertAlign val="baseline"/>
        <sz val="11"/>
        <name val="Bold"/>
        <scheme val="none"/>
      </font>
      <fill>
        <patternFill>
          <bgColor rgb="FF00B050"/>
        </patternFill>
      </fill>
    </dxf>
    <dxf>
      <font>
        <strike val="0"/>
        <outline val="0"/>
        <shadow val="0"/>
        <u val="none"/>
        <vertAlign val="baseline"/>
        <sz val="11"/>
        <name val="Bold"/>
        <scheme val="none"/>
      </font>
      <fill>
        <patternFill>
          <bgColor rgb="FF00B050"/>
        </patternFill>
      </fill>
    </dxf>
    <dxf>
      <font>
        <strike val="0"/>
        <outline val="0"/>
        <shadow val="0"/>
        <u val="none"/>
        <vertAlign val="baseline"/>
        <sz val="11"/>
        <name val="Bold"/>
        <scheme val="none"/>
      </font>
      <fill>
        <patternFill>
          <bgColor rgb="FF00B050"/>
        </patternFill>
      </fill>
    </dxf>
    <dxf>
      <font>
        <strike val="0"/>
        <outline val="0"/>
        <shadow val="0"/>
        <u val="none"/>
        <vertAlign val="baseline"/>
        <sz val="11"/>
        <name val="Bold"/>
        <scheme val="none"/>
      </font>
    </dxf>
    <dxf>
      <font>
        <strike val="0"/>
        <outline val="0"/>
        <shadow val="0"/>
        <u val="none"/>
        <vertAlign val="baseline"/>
        <sz val="11"/>
        <name val="Bold"/>
        <scheme val="none"/>
      </font>
    </dxf>
    <dxf>
      <font>
        <strike val="0"/>
        <outline val="0"/>
        <shadow val="0"/>
        <u val="none"/>
        <vertAlign val="baseline"/>
        <sz val="11"/>
        <name val="Bold"/>
        <scheme val="none"/>
      </font>
    </dxf>
    <dxf>
      <font>
        <strike val="0"/>
        <outline val="0"/>
        <shadow val="0"/>
        <u val="none"/>
        <vertAlign val="baseline"/>
        <sz val="11"/>
        <name val="Bold"/>
        <scheme val="none"/>
      </font>
    </dxf>
    <dxf>
      <font>
        <strike val="0"/>
        <outline val="0"/>
        <shadow val="0"/>
        <u val="none"/>
        <vertAlign val="baseline"/>
        <sz val="11"/>
        <name val="Bold"/>
        <scheme val="none"/>
      </font>
    </dxf>
    <dxf>
      <font>
        <strike val="0"/>
        <outline val="0"/>
        <shadow val="0"/>
        <u val="none"/>
        <vertAlign val="baseline"/>
        <sz val="11"/>
        <name val="Bold"/>
        <scheme val="none"/>
      </font>
    </dxf>
    <dxf>
      <border outline="0">
        <top style="thin">
          <color theme="0"/>
        </top>
      </border>
    </dxf>
    <dxf>
      <border outline="0">
        <top style="thin">
          <color theme="0"/>
        </top>
      </border>
    </dxf>
    <dxf>
      <font>
        <strike val="0"/>
        <outline val="0"/>
        <shadow val="0"/>
        <u val="none"/>
        <vertAlign val="baseline"/>
        <sz val="11"/>
        <name val="Bold"/>
        <scheme val="none"/>
      </font>
    </dxf>
    <dxf>
      <border outline="0">
        <bottom style="thin">
          <color theme="0"/>
        </bottom>
      </border>
    </dxf>
    <dxf>
      <font>
        <b/>
        <i val="0"/>
        <strike val="0"/>
        <condense val="0"/>
        <extend val="0"/>
        <outline val="0"/>
        <shadow val="0"/>
        <u val="none"/>
        <vertAlign val="baseline"/>
        <sz val="11"/>
        <color theme="1"/>
        <name val="Bold"/>
        <scheme val="none"/>
      </font>
      <fill>
        <patternFill patternType="solid">
          <fgColor theme="5" tint="0.59999389629810485"/>
          <bgColor theme="5"/>
        </patternFill>
      </fill>
      <alignment horizontal="center" vertical="center" textRotation="0" wrapText="1" indent="0" justifyLastLine="0" shrinkToFit="0" readingOrder="0"/>
      <border diagonalUp="0" diagonalDown="0" outline="0">
        <left style="thin">
          <color theme="0"/>
        </left>
        <right style="thin">
          <color theme="0"/>
        </right>
        <top/>
        <bottom/>
      </border>
    </dxf>
    <dxf>
      <font>
        <strike val="0"/>
        <outline val="0"/>
        <shadow val="0"/>
        <u val="none"/>
        <vertAlign val="baseline"/>
        <sz val="11"/>
        <name val="Bold"/>
        <scheme val="none"/>
      </font>
      <numFmt numFmtId="2" formatCode="0.00"/>
      <alignment horizontal="general" vertical="center" textRotation="0" wrapText="1" indent="0" justifyLastLine="0" shrinkToFit="0" readingOrder="0"/>
    </dxf>
    <dxf>
      <font>
        <strike val="0"/>
        <outline val="0"/>
        <shadow val="0"/>
        <u val="none"/>
        <vertAlign val="baseline"/>
        <sz val="11"/>
        <name val="Bold"/>
        <scheme val="none"/>
      </font>
      <alignment horizontal="general" vertical="center" textRotation="0" wrapText="1" indent="0" justifyLastLine="0" shrinkToFit="0" readingOrder="0"/>
    </dxf>
    <dxf>
      <font>
        <strike val="0"/>
        <outline val="0"/>
        <shadow val="0"/>
        <u val="none"/>
        <vertAlign val="baseline"/>
        <sz val="11"/>
        <name val="Bold"/>
        <scheme val="none"/>
      </font>
      <alignment horizontal="general" vertical="center" textRotation="0" wrapText="1" indent="0" justifyLastLine="0" shrinkToFit="0" readingOrder="0"/>
    </dxf>
    <dxf>
      <font>
        <strike val="0"/>
        <outline val="0"/>
        <shadow val="0"/>
        <u val="none"/>
        <vertAlign val="baseline"/>
        <sz val="11"/>
        <name val="Bold"/>
        <scheme val="none"/>
      </font>
      <alignment horizontal="general" vertical="center" textRotation="0" wrapText="1" indent="0" justifyLastLine="0" shrinkToFit="0" readingOrder="0"/>
    </dxf>
    <dxf>
      <font>
        <b/>
        <i val="0"/>
        <strike val="0"/>
        <condense val="0"/>
        <extend val="0"/>
        <outline val="0"/>
        <shadow val="0"/>
        <u val="none"/>
        <vertAlign val="baseline"/>
        <sz val="11"/>
        <color theme="1"/>
        <name val="Bold"/>
        <scheme val="none"/>
      </font>
      <alignment horizontal="center" vertical="center" textRotation="0" wrapText="1" indent="0" justifyLastLine="0" shrinkToFit="0" readingOrder="0"/>
    </dxf>
    <dxf>
      <font>
        <strike val="0"/>
        <outline val="0"/>
        <shadow val="0"/>
        <u val="none"/>
        <vertAlign val="baseline"/>
        <sz val="11"/>
        <name val="Bold"/>
        <scheme val="none"/>
      </font>
      <numFmt numFmtId="0" formatCode="General"/>
      <alignment horizontal="general" vertical="center" textRotation="0" wrapText="1" indent="0" justifyLastLine="0" shrinkToFit="0" readingOrder="0"/>
    </dxf>
    <dxf>
      <font>
        <strike val="0"/>
        <outline val="0"/>
        <shadow val="0"/>
        <u val="none"/>
        <vertAlign val="baseline"/>
        <sz val="11"/>
        <name val="Bold"/>
        <scheme val="none"/>
      </font>
      <alignment horizontal="general" vertical="center" textRotation="0" wrapText="1" indent="0" justifyLastLine="0" shrinkToFit="0" readingOrder="0"/>
    </dxf>
    <dxf>
      <font>
        <strike val="0"/>
        <outline val="0"/>
        <shadow val="0"/>
        <u val="none"/>
        <vertAlign val="baseline"/>
        <sz val="11"/>
        <name val="Bold"/>
        <scheme val="none"/>
      </font>
      <alignment horizontal="general" vertical="center" textRotation="0" wrapText="1" indent="0" justifyLastLine="0" shrinkToFit="0" readingOrder="0"/>
    </dxf>
    <dxf>
      <font>
        <b/>
        <i val="0"/>
        <strike val="0"/>
        <condense val="0"/>
        <extend val="0"/>
        <outline val="0"/>
        <shadow val="0"/>
        <u val="none"/>
        <vertAlign val="baseline"/>
        <sz val="11"/>
        <color theme="1"/>
        <name val="Bold"/>
        <scheme val="none"/>
      </font>
      <alignment horizontal="center" vertical="center" textRotation="0" wrapText="1" indent="0" justifyLastLine="0" shrinkToFit="0" readingOrder="0"/>
    </dxf>
    <dxf>
      <font>
        <strike val="0"/>
        <outline val="0"/>
        <shadow val="0"/>
        <u val="none"/>
        <vertAlign val="baseline"/>
        <sz val="11"/>
        <color theme="1"/>
        <name val="Bold"/>
        <scheme val="none"/>
      </font>
      <alignment horizontal="general" vertical="center" textRotation="0" wrapText="1" indent="0" justifyLastLine="0" shrinkToFit="0" readingOrder="0"/>
    </dxf>
    <dxf>
      <font>
        <strike val="0"/>
        <outline val="0"/>
        <shadow val="0"/>
        <u val="none"/>
        <vertAlign val="baseline"/>
        <sz val="11"/>
        <color theme="1"/>
        <name val="Bold"/>
        <scheme val="none"/>
      </font>
      <alignment horizontal="general" vertical="center" textRotation="0" wrapText="1" indent="0" justifyLastLine="0" shrinkToFit="0" readingOrder="0"/>
    </dxf>
    <dxf>
      <font>
        <strike val="0"/>
        <outline val="0"/>
        <shadow val="0"/>
        <u val="none"/>
        <vertAlign val="baseline"/>
        <sz val="11"/>
        <color theme="1"/>
        <name val="Bold"/>
        <scheme val="none"/>
      </font>
      <alignment horizontal="general" vertical="center" textRotation="0" wrapText="1" indent="0" justifyLastLine="0" shrinkToFit="0" readingOrder="0"/>
    </dxf>
    <dxf>
      <font>
        <b/>
        <i val="0"/>
        <strike val="0"/>
        <condense val="0"/>
        <extend val="0"/>
        <outline val="0"/>
        <shadow val="0"/>
        <u val="none"/>
        <vertAlign val="baseline"/>
        <sz val="11"/>
        <color theme="1"/>
        <name val="Bold"/>
        <scheme val="none"/>
      </font>
      <alignment horizontal="center" vertical="center" textRotation="0" wrapText="1" indent="0" justifyLastLine="0" shrinkToFit="0" readingOrder="0"/>
    </dxf>
    <dxf>
      <font>
        <strike val="0"/>
        <outline val="0"/>
        <shadow val="0"/>
        <u val="none"/>
        <vertAlign val="baseline"/>
        <sz val="11"/>
        <color theme="1"/>
        <name val="Bold"/>
        <scheme val="none"/>
      </font>
      <alignment horizontal="general" vertical="center" textRotation="0" wrapText="1" indent="0" justifyLastLine="0" shrinkToFit="0" readingOrder="0"/>
    </dxf>
    <dxf>
      <font>
        <strike val="0"/>
        <outline val="0"/>
        <shadow val="0"/>
        <u val="none"/>
        <vertAlign val="baseline"/>
        <sz val="11"/>
        <color theme="1"/>
        <name val="Bold"/>
        <scheme val="none"/>
      </font>
      <alignment horizontal="general" vertical="center" textRotation="0" wrapText="1" indent="0" justifyLastLine="0" shrinkToFit="0" readingOrder="0"/>
    </dxf>
    <dxf>
      <font>
        <strike val="0"/>
        <outline val="0"/>
        <shadow val="0"/>
        <u val="none"/>
        <vertAlign val="baseline"/>
        <sz val="11"/>
        <color theme="1"/>
        <name val="Bold"/>
        <scheme val="none"/>
      </font>
      <alignment horizontal="general" vertical="center" textRotation="0" wrapText="1" indent="0" justifyLastLine="0" shrinkToFit="0" readingOrder="0"/>
    </dxf>
    <dxf>
      <font>
        <b/>
        <i val="0"/>
        <strike val="0"/>
        <condense val="0"/>
        <extend val="0"/>
        <outline val="0"/>
        <shadow val="0"/>
        <u val="none"/>
        <vertAlign val="baseline"/>
        <sz val="11"/>
        <color theme="1"/>
        <name val="Bold"/>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Bold"/>
        <scheme val="none"/>
      </font>
      <numFmt numFmtId="2" formatCode="0.00"/>
      <fill>
        <patternFill>
          <bgColor rgb="FF00B050"/>
        </patternFill>
      </fill>
    </dxf>
    <dxf>
      <font>
        <b val="0"/>
        <i val="0"/>
        <strike val="0"/>
        <condense val="0"/>
        <extend val="0"/>
        <outline val="0"/>
        <shadow val="0"/>
        <u val="none"/>
        <vertAlign val="baseline"/>
        <sz val="11"/>
        <color theme="1"/>
        <name val="Bold"/>
        <scheme val="none"/>
      </font>
      <numFmt numFmtId="2" formatCode="0.00"/>
      <fill>
        <patternFill>
          <bgColor rgb="FF00B050"/>
        </patternFill>
      </fill>
    </dxf>
    <dxf>
      <font>
        <b val="0"/>
        <i val="0"/>
        <strike val="0"/>
        <condense val="0"/>
        <extend val="0"/>
        <outline val="0"/>
        <shadow val="0"/>
        <u val="none"/>
        <vertAlign val="baseline"/>
        <sz val="11"/>
        <color theme="1"/>
        <name val="Bold"/>
        <scheme val="none"/>
      </font>
      <numFmt numFmtId="2" formatCode="0.00"/>
      <fill>
        <patternFill>
          <bgColor rgb="FF00B050"/>
        </patternFill>
      </fill>
    </dxf>
    <dxf>
      <font>
        <b val="0"/>
        <i val="0"/>
        <strike val="0"/>
        <condense val="0"/>
        <extend val="0"/>
        <outline val="0"/>
        <shadow val="0"/>
        <u val="none"/>
        <vertAlign val="baseline"/>
        <sz val="11"/>
        <color theme="1"/>
        <name val="Bold"/>
        <scheme val="none"/>
      </font>
      <numFmt numFmtId="2" formatCode="0.00"/>
      <fill>
        <patternFill>
          <bgColor rgb="FF00B050"/>
        </patternFill>
      </fill>
    </dxf>
    <dxf>
      <font>
        <b val="0"/>
        <i val="0"/>
        <strike val="0"/>
        <condense val="0"/>
        <extend val="0"/>
        <outline val="0"/>
        <shadow val="0"/>
        <u val="none"/>
        <vertAlign val="baseline"/>
        <sz val="11"/>
        <color theme="1"/>
        <name val="Bold"/>
        <scheme val="none"/>
      </font>
      <numFmt numFmtId="2" formatCode="0.00"/>
      <fill>
        <patternFill>
          <bgColor rgb="FF00B050"/>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Bold"/>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1"/>
        <color theme="1"/>
        <name val="Bold"/>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1"/>
        <color theme="1"/>
        <name val="Bold"/>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1"/>
        <color theme="1"/>
        <name val="Bold"/>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1"/>
        <color theme="1"/>
        <name val="Bold"/>
        <scheme val="none"/>
      </font>
      <numFmt numFmtId="13" formatCode="0%"/>
      <alignment horizontal="general" vertical="center" textRotation="0" wrapText="1" indent="0" justifyLastLine="0" shrinkToFit="0" readingOrder="0"/>
    </dxf>
    <dxf>
      <font>
        <b val="0"/>
        <i val="0"/>
        <strike val="0"/>
        <condense val="0"/>
        <extend val="0"/>
        <outline val="0"/>
        <shadow val="0"/>
        <u val="none"/>
        <vertAlign val="baseline"/>
        <sz val="11"/>
        <color theme="1"/>
        <name val="Bold"/>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Bold"/>
        <scheme val="none"/>
      </font>
    </dxf>
    <dxf>
      <font>
        <b/>
        <i val="0"/>
        <strike val="0"/>
        <condense val="0"/>
        <extend val="0"/>
        <outline val="0"/>
        <shadow val="0"/>
        <u val="none"/>
        <vertAlign val="baseline"/>
        <sz val="11"/>
        <color theme="1"/>
        <name val="Bold"/>
        <scheme val="none"/>
      </font>
      <alignment horizontal="center" vertical="center" textRotation="0" wrapText="1" indent="0" justifyLastLine="0" shrinkToFit="0" readingOrder="0"/>
    </dxf>
    <dxf>
      <font>
        <strike val="0"/>
        <outline val="0"/>
        <shadow val="0"/>
        <u val="none"/>
        <vertAlign val="baseline"/>
        <sz val="11"/>
        <color theme="1"/>
        <name val="Bold"/>
        <scheme val="none"/>
      </font>
      <numFmt numFmtId="14" formatCode="0.00%"/>
      <fill>
        <patternFill>
          <bgColor rgb="FF00B050"/>
        </patternFill>
      </fill>
      <alignment horizontal="general" vertical="center" textRotation="0" wrapText="1" indent="0" justifyLastLine="0" shrinkToFit="0" readingOrder="0"/>
    </dxf>
    <dxf>
      <font>
        <strike val="0"/>
        <outline val="0"/>
        <shadow val="0"/>
        <u val="none"/>
        <vertAlign val="baseline"/>
        <sz val="11"/>
        <color theme="1"/>
        <name val="Bold"/>
        <scheme val="none"/>
      </font>
      <numFmt numFmtId="14" formatCode="0.00%"/>
      <fill>
        <patternFill>
          <bgColor rgb="FF00B050"/>
        </patternFill>
      </fill>
      <alignment horizontal="general" vertical="center" textRotation="0" wrapText="1" indent="0" justifyLastLine="0" shrinkToFit="0" readingOrder="0"/>
    </dxf>
    <dxf>
      <font>
        <strike val="0"/>
        <outline val="0"/>
        <shadow val="0"/>
        <u val="none"/>
        <vertAlign val="baseline"/>
        <sz val="11"/>
        <color theme="1"/>
        <name val="Bold"/>
        <scheme val="none"/>
      </font>
      <numFmt numFmtId="14" formatCode="0.00%"/>
      <fill>
        <patternFill>
          <bgColor rgb="FF00B050"/>
        </patternFill>
      </fill>
      <alignment horizontal="general" vertical="center" textRotation="0" wrapText="1" indent="0" justifyLastLine="0" shrinkToFit="0" readingOrder="0"/>
    </dxf>
    <dxf>
      <font>
        <strike val="0"/>
        <outline val="0"/>
        <shadow val="0"/>
        <u val="none"/>
        <vertAlign val="baseline"/>
        <sz val="11"/>
        <color theme="1"/>
        <name val="Bold"/>
        <scheme val="none"/>
      </font>
      <numFmt numFmtId="14" formatCode="0.00%"/>
      <fill>
        <patternFill>
          <bgColor rgb="FF00B050"/>
        </patternFill>
      </fill>
      <alignment horizontal="general" vertical="center" textRotation="0" wrapText="1" indent="0" justifyLastLine="0" shrinkToFit="0" readingOrder="0"/>
    </dxf>
    <dxf>
      <font>
        <strike val="0"/>
        <outline val="0"/>
        <shadow val="0"/>
        <u val="none"/>
        <vertAlign val="baseline"/>
        <sz val="11"/>
        <color theme="1"/>
        <name val="Bold"/>
        <scheme val="none"/>
      </font>
      <numFmt numFmtId="14" formatCode="0.00%"/>
      <fill>
        <patternFill>
          <bgColor rgb="FF00B050"/>
        </patternFill>
      </fill>
      <alignment horizontal="general" vertical="center" textRotation="0" wrapText="1" indent="0" justifyLastLine="0" shrinkToFit="0" readingOrder="0"/>
    </dxf>
    <dxf>
      <font>
        <strike val="0"/>
        <outline val="0"/>
        <shadow val="0"/>
        <u val="none"/>
        <vertAlign val="baseline"/>
        <sz val="11"/>
        <color theme="1"/>
        <name val="Bold"/>
        <scheme val="none"/>
      </font>
      <numFmt numFmtId="14" formatCode="0.00%"/>
      <alignment horizontal="general" vertical="center" textRotation="0" wrapText="1" indent="0" justifyLastLine="0" shrinkToFit="0" readingOrder="0"/>
    </dxf>
    <dxf>
      <font>
        <strike val="0"/>
        <outline val="0"/>
        <shadow val="0"/>
        <u val="none"/>
        <vertAlign val="baseline"/>
        <sz val="11"/>
        <color theme="1"/>
        <name val="Bold"/>
        <scheme val="none"/>
      </font>
      <numFmt numFmtId="14" formatCode="0.00%"/>
      <alignment horizontal="general" vertical="center" textRotation="0" wrapText="1" indent="0" justifyLastLine="0" shrinkToFit="0" readingOrder="0"/>
    </dxf>
    <dxf>
      <font>
        <strike val="0"/>
        <outline val="0"/>
        <shadow val="0"/>
        <u val="none"/>
        <vertAlign val="baseline"/>
        <sz val="11"/>
        <color theme="1"/>
        <name val="Bold"/>
        <scheme val="none"/>
      </font>
      <numFmt numFmtId="14" formatCode="0.00%"/>
      <alignment horizontal="general" vertical="center" textRotation="0" wrapText="1" indent="0" justifyLastLine="0" shrinkToFit="0" readingOrder="0"/>
    </dxf>
    <dxf>
      <font>
        <strike val="0"/>
        <outline val="0"/>
        <shadow val="0"/>
        <u val="none"/>
        <vertAlign val="baseline"/>
        <sz val="11"/>
        <color theme="1"/>
        <name val="Bold"/>
        <scheme val="none"/>
      </font>
      <numFmt numFmtId="14" formatCode="0.00%"/>
      <alignment horizontal="general" vertical="center" textRotation="0" wrapText="1" indent="0" justifyLastLine="0" shrinkToFit="0" readingOrder="0"/>
    </dxf>
    <dxf>
      <font>
        <strike val="0"/>
        <outline val="0"/>
        <shadow val="0"/>
        <u val="none"/>
        <vertAlign val="baseline"/>
        <sz val="11"/>
        <color theme="1"/>
        <name val="Bold"/>
        <scheme val="none"/>
      </font>
      <numFmt numFmtId="14" formatCode="0.00%"/>
      <alignment horizontal="general" vertical="center" textRotation="0" wrapText="1" indent="0" justifyLastLine="0" shrinkToFit="0" readingOrder="0"/>
    </dxf>
    <dxf>
      <font>
        <strike val="0"/>
        <outline val="0"/>
        <shadow val="0"/>
        <u val="none"/>
        <vertAlign val="baseline"/>
        <sz val="11"/>
        <color theme="1"/>
        <name val="Bold"/>
        <scheme val="none"/>
      </font>
      <alignment horizontal="general" vertical="center" textRotation="0" wrapText="1" indent="0" justifyLastLine="0" shrinkToFit="0" readingOrder="0"/>
    </dxf>
    <dxf>
      <font>
        <strike val="0"/>
        <outline val="0"/>
        <shadow val="0"/>
        <u val="none"/>
        <vertAlign val="baseline"/>
        <sz val="11"/>
        <color theme="1"/>
        <name val="Bold"/>
        <scheme val="none"/>
      </font>
      <alignment horizontal="general" vertical="center" textRotation="0" wrapText="1" indent="0" justifyLastLine="0" shrinkToFit="0" readingOrder="0"/>
    </dxf>
    <dxf>
      <font>
        <b/>
        <i val="0"/>
        <strike val="0"/>
        <condense val="0"/>
        <extend val="0"/>
        <outline val="0"/>
        <shadow val="0"/>
        <u val="none"/>
        <vertAlign val="baseline"/>
        <sz val="11"/>
        <color theme="1"/>
        <name val="Bold"/>
        <scheme val="none"/>
      </font>
      <alignment horizontal="center" vertical="center" textRotation="0" wrapText="1" indent="0" justifyLastLine="0" shrinkToFit="0" readingOrder="0"/>
    </dxf>
    <dxf>
      <font>
        <strike val="0"/>
        <outline val="0"/>
        <shadow val="0"/>
        <u val="none"/>
        <vertAlign val="baseline"/>
        <sz val="11"/>
        <color theme="1"/>
        <name val="Bold"/>
        <scheme val="none"/>
      </font>
      <numFmt numFmtId="0" formatCode="General"/>
      <fill>
        <patternFill>
          <bgColor rgb="FF00B050"/>
        </patternFill>
      </fill>
      <alignment horizontal="general" vertical="center" textRotation="0" wrapText="1" indent="0" justifyLastLine="0" shrinkToFit="0" readingOrder="0"/>
    </dxf>
    <dxf>
      <font>
        <strike val="0"/>
        <outline val="0"/>
        <shadow val="0"/>
        <u val="none"/>
        <vertAlign val="baseline"/>
        <sz val="11"/>
        <color theme="1"/>
        <name val="Bold"/>
        <scheme val="none"/>
      </font>
      <numFmt numFmtId="0" formatCode="General"/>
      <fill>
        <patternFill>
          <bgColor rgb="FF00B050"/>
        </patternFill>
      </fill>
      <alignment horizontal="general" vertical="center" textRotation="0" wrapText="1" indent="0" justifyLastLine="0" shrinkToFit="0" readingOrder="0"/>
    </dxf>
    <dxf>
      <font>
        <strike val="0"/>
        <outline val="0"/>
        <shadow val="0"/>
        <u val="none"/>
        <vertAlign val="baseline"/>
        <sz val="11"/>
        <color theme="1"/>
        <name val="Bold"/>
        <scheme val="none"/>
      </font>
      <numFmt numFmtId="0" formatCode="General"/>
      <fill>
        <patternFill>
          <bgColor rgb="FF00B050"/>
        </patternFill>
      </fill>
      <alignment horizontal="general" vertical="center" textRotation="0" wrapText="1" indent="0" justifyLastLine="0" shrinkToFit="0" readingOrder="0"/>
    </dxf>
    <dxf>
      <font>
        <strike val="0"/>
        <outline val="0"/>
        <shadow val="0"/>
        <u val="none"/>
        <vertAlign val="baseline"/>
        <sz val="11"/>
        <color theme="1"/>
        <name val="Bold"/>
        <scheme val="none"/>
      </font>
      <numFmt numFmtId="0" formatCode="General"/>
      <fill>
        <patternFill>
          <bgColor rgb="FF00B050"/>
        </patternFill>
      </fill>
      <alignment horizontal="general" vertical="center" textRotation="0" wrapText="1" indent="0" justifyLastLine="0" shrinkToFit="0" readingOrder="0"/>
    </dxf>
    <dxf>
      <font>
        <strike val="0"/>
        <outline val="0"/>
        <shadow val="0"/>
        <u val="none"/>
        <vertAlign val="baseline"/>
        <sz val="11"/>
        <color theme="1"/>
        <name val="Bold"/>
        <scheme val="none"/>
      </font>
      <numFmt numFmtId="0" formatCode="General"/>
      <fill>
        <patternFill>
          <bgColor rgb="FF00B050"/>
        </patternFill>
      </fill>
      <alignment horizontal="general" vertical="center" textRotation="0" wrapText="1" indent="0" justifyLastLine="0" shrinkToFit="0" readingOrder="0"/>
    </dxf>
    <dxf>
      <font>
        <strike val="0"/>
        <outline val="0"/>
        <shadow val="0"/>
        <u val="none"/>
        <vertAlign val="baseline"/>
        <sz val="11"/>
        <color theme="1"/>
        <name val="Bold"/>
        <scheme val="none"/>
      </font>
      <numFmt numFmtId="0" formatCode="General"/>
      <alignment horizontal="general" vertical="center" textRotation="0" wrapText="1" indent="0" justifyLastLine="0" shrinkToFit="0" readingOrder="0"/>
    </dxf>
    <dxf>
      <font>
        <strike val="0"/>
        <outline val="0"/>
        <shadow val="0"/>
        <u val="none"/>
        <vertAlign val="baseline"/>
        <sz val="11"/>
        <color theme="1"/>
        <name val="Bold"/>
        <scheme val="none"/>
      </font>
      <numFmt numFmtId="0" formatCode="General"/>
      <alignment horizontal="general" vertical="center" textRotation="0" wrapText="1" indent="0" justifyLastLine="0" shrinkToFit="0" readingOrder="0"/>
    </dxf>
    <dxf>
      <font>
        <strike val="0"/>
        <outline val="0"/>
        <shadow val="0"/>
        <u val="none"/>
        <vertAlign val="baseline"/>
        <sz val="11"/>
        <color theme="1"/>
        <name val="Bold"/>
        <scheme val="none"/>
      </font>
      <numFmt numFmtId="0" formatCode="General"/>
      <alignment horizontal="general" vertical="center" textRotation="0" wrapText="1" indent="0" justifyLastLine="0" shrinkToFit="0" readingOrder="0"/>
    </dxf>
    <dxf>
      <font>
        <strike val="0"/>
        <outline val="0"/>
        <shadow val="0"/>
        <u val="none"/>
        <vertAlign val="baseline"/>
        <sz val="11"/>
        <color theme="1"/>
        <name val="Bold"/>
        <scheme val="none"/>
      </font>
      <numFmt numFmtId="0" formatCode="General"/>
      <alignment horizontal="general" vertical="center" textRotation="0" wrapText="1" indent="0" justifyLastLine="0" shrinkToFit="0" readingOrder="0"/>
    </dxf>
    <dxf>
      <font>
        <strike val="0"/>
        <outline val="0"/>
        <shadow val="0"/>
        <u val="none"/>
        <vertAlign val="baseline"/>
        <sz val="11"/>
        <color theme="1"/>
        <name val="Bold"/>
        <scheme val="none"/>
      </font>
      <numFmt numFmtId="0" formatCode="General"/>
      <alignment horizontal="general" vertical="center" textRotation="0" wrapText="1" indent="0" justifyLastLine="0" shrinkToFit="0" readingOrder="0"/>
    </dxf>
    <dxf>
      <font>
        <strike val="0"/>
        <outline val="0"/>
        <shadow val="0"/>
        <u val="none"/>
        <vertAlign val="baseline"/>
        <sz val="11"/>
        <color theme="1"/>
        <name val="Bold"/>
        <scheme val="none"/>
      </font>
      <alignment horizontal="general" vertical="center" textRotation="0" wrapText="1" indent="0" justifyLastLine="0" shrinkToFit="0" readingOrder="0"/>
    </dxf>
    <dxf>
      <font>
        <strike val="0"/>
        <outline val="0"/>
        <shadow val="0"/>
        <u val="none"/>
        <vertAlign val="baseline"/>
        <sz val="11"/>
        <color theme="1"/>
        <name val="Bold"/>
        <scheme val="none"/>
      </font>
      <alignment horizontal="general" vertical="center" textRotation="0" wrapText="1" indent="0" justifyLastLine="0" shrinkToFit="0" readingOrder="0"/>
    </dxf>
    <dxf>
      <font>
        <b/>
        <i val="0"/>
        <strike val="0"/>
        <condense val="0"/>
        <extend val="0"/>
        <outline val="0"/>
        <shadow val="0"/>
        <u val="none"/>
        <vertAlign val="baseline"/>
        <sz val="11"/>
        <color theme="1"/>
        <name val="Bold"/>
        <scheme val="none"/>
      </font>
      <alignment horizontal="center" vertical="center" textRotation="0" wrapText="1" indent="0" justifyLastLine="0" shrinkToFit="0" readingOrder="0"/>
    </dxf>
    <dxf>
      <font>
        <strike val="0"/>
        <outline val="0"/>
        <shadow val="0"/>
        <u val="none"/>
        <vertAlign val="baseline"/>
        <sz val="11"/>
        <color theme="1"/>
        <name val="Bold"/>
        <scheme val="none"/>
      </font>
      <numFmt numFmtId="14" formatCode="0.00%"/>
      <fill>
        <patternFill>
          <bgColor rgb="FF00B050"/>
        </patternFill>
      </fill>
      <alignment horizontal="general" vertical="center" textRotation="0" wrapText="1" indent="0" justifyLastLine="0" shrinkToFit="0" readingOrder="0"/>
    </dxf>
    <dxf>
      <font>
        <strike val="0"/>
        <outline val="0"/>
        <shadow val="0"/>
        <u val="none"/>
        <vertAlign val="baseline"/>
        <sz val="11"/>
        <color theme="1"/>
        <name val="Bold"/>
        <scheme val="none"/>
      </font>
      <numFmt numFmtId="14" formatCode="0.00%"/>
      <fill>
        <patternFill>
          <bgColor rgb="FF00B050"/>
        </patternFill>
      </fill>
      <alignment horizontal="general" vertical="center" textRotation="0" wrapText="1" indent="0" justifyLastLine="0" shrinkToFit="0" readingOrder="0"/>
    </dxf>
    <dxf>
      <font>
        <strike val="0"/>
        <outline val="0"/>
        <shadow val="0"/>
        <u val="none"/>
        <vertAlign val="baseline"/>
        <sz val="11"/>
        <color theme="1"/>
        <name val="Bold"/>
        <scheme val="none"/>
      </font>
      <numFmt numFmtId="14" formatCode="0.00%"/>
      <fill>
        <patternFill>
          <bgColor rgb="FF00B050"/>
        </patternFill>
      </fill>
      <alignment horizontal="general" vertical="center" textRotation="0" wrapText="1" indent="0" justifyLastLine="0" shrinkToFit="0" readingOrder="0"/>
    </dxf>
    <dxf>
      <font>
        <strike val="0"/>
        <outline val="0"/>
        <shadow val="0"/>
        <u val="none"/>
        <vertAlign val="baseline"/>
        <sz val="11"/>
        <color theme="1"/>
        <name val="Bold"/>
        <scheme val="none"/>
      </font>
      <numFmt numFmtId="14" formatCode="0.00%"/>
      <fill>
        <patternFill>
          <bgColor rgb="FF00B050"/>
        </patternFill>
      </fill>
      <alignment horizontal="general" vertical="center" textRotation="0" wrapText="1" indent="0" justifyLastLine="0" shrinkToFit="0" readingOrder="0"/>
    </dxf>
    <dxf>
      <font>
        <strike val="0"/>
        <outline val="0"/>
        <shadow val="0"/>
        <u val="none"/>
        <vertAlign val="baseline"/>
        <sz val="11"/>
        <color theme="1"/>
        <name val="Bold"/>
        <scheme val="none"/>
      </font>
      <numFmt numFmtId="14" formatCode="0.00%"/>
      <fill>
        <patternFill>
          <bgColor rgb="FF00B050"/>
        </patternFill>
      </fill>
      <alignment horizontal="general" vertical="center" textRotation="0" wrapText="1" indent="0" justifyLastLine="0" shrinkToFit="0" readingOrder="0"/>
    </dxf>
    <dxf>
      <font>
        <strike val="0"/>
        <outline val="0"/>
        <shadow val="0"/>
        <u val="none"/>
        <vertAlign val="baseline"/>
        <sz val="11"/>
        <color theme="1"/>
        <name val="Bold"/>
        <scheme val="none"/>
      </font>
      <numFmt numFmtId="14" formatCode="0.00%"/>
      <alignment horizontal="general" vertical="center" textRotation="0" wrapText="1" indent="0" justifyLastLine="0" shrinkToFit="0" readingOrder="0"/>
    </dxf>
    <dxf>
      <font>
        <strike val="0"/>
        <outline val="0"/>
        <shadow val="0"/>
        <u val="none"/>
        <vertAlign val="baseline"/>
        <sz val="11"/>
        <color theme="1"/>
        <name val="Bold"/>
        <scheme val="none"/>
      </font>
      <numFmt numFmtId="14" formatCode="0.00%"/>
      <alignment horizontal="general" vertical="center" textRotation="0" wrapText="1" indent="0" justifyLastLine="0" shrinkToFit="0" readingOrder="0"/>
    </dxf>
    <dxf>
      <font>
        <strike val="0"/>
        <outline val="0"/>
        <shadow val="0"/>
        <u val="none"/>
        <vertAlign val="baseline"/>
        <sz val="11"/>
        <color theme="1"/>
        <name val="Bold"/>
        <scheme val="none"/>
      </font>
      <numFmt numFmtId="14" formatCode="0.00%"/>
      <alignment horizontal="general" vertical="center" textRotation="0" wrapText="1" indent="0" justifyLastLine="0" shrinkToFit="0" readingOrder="0"/>
    </dxf>
    <dxf>
      <font>
        <strike val="0"/>
        <outline val="0"/>
        <shadow val="0"/>
        <u val="none"/>
        <vertAlign val="baseline"/>
        <sz val="11"/>
        <color theme="1"/>
        <name val="Bold"/>
        <scheme val="none"/>
      </font>
      <numFmt numFmtId="14" formatCode="0.00%"/>
      <alignment horizontal="general" vertical="center" textRotation="0" wrapText="1" indent="0" justifyLastLine="0" shrinkToFit="0" readingOrder="0"/>
    </dxf>
    <dxf>
      <font>
        <strike val="0"/>
        <outline val="0"/>
        <shadow val="0"/>
        <u val="none"/>
        <vertAlign val="baseline"/>
        <sz val="11"/>
        <color theme="1"/>
        <name val="Bold"/>
        <scheme val="none"/>
      </font>
      <numFmt numFmtId="14" formatCode="0.00%"/>
      <alignment horizontal="general" vertical="center" textRotation="0" wrapText="1" indent="0" justifyLastLine="0" shrinkToFit="0" readingOrder="0"/>
    </dxf>
    <dxf>
      <font>
        <strike val="0"/>
        <outline val="0"/>
        <shadow val="0"/>
        <u val="none"/>
        <vertAlign val="baseline"/>
        <sz val="11"/>
        <color theme="1"/>
        <name val="Bold"/>
        <scheme val="none"/>
      </font>
      <alignment horizontal="general" vertical="center" textRotation="0" wrapText="1" indent="0" justifyLastLine="0" shrinkToFit="0" readingOrder="0"/>
    </dxf>
    <dxf>
      <font>
        <strike val="0"/>
        <outline val="0"/>
        <shadow val="0"/>
        <u val="none"/>
        <vertAlign val="baseline"/>
        <sz val="11"/>
        <color theme="1"/>
        <name val="Bold"/>
        <scheme val="none"/>
      </font>
      <alignment horizontal="general" vertical="center" textRotation="0" wrapText="1" indent="0" justifyLastLine="0" shrinkToFit="0" readingOrder="0"/>
    </dxf>
    <dxf>
      <font>
        <b/>
        <i val="0"/>
        <strike val="0"/>
        <condense val="0"/>
        <extend val="0"/>
        <outline val="0"/>
        <shadow val="0"/>
        <u val="none"/>
        <vertAlign val="baseline"/>
        <sz val="11"/>
        <color theme="1"/>
        <name val="Bold"/>
        <scheme val="none"/>
      </font>
      <alignment horizontal="center" vertical="center" textRotation="0" wrapText="1" indent="0" justifyLastLine="0" shrinkToFit="0" readingOrder="0"/>
    </dxf>
    <dxf>
      <font>
        <strike val="0"/>
        <outline val="0"/>
        <shadow val="0"/>
        <u val="none"/>
        <vertAlign val="baseline"/>
        <sz val="11"/>
        <color theme="1"/>
        <name val="Bold"/>
        <scheme val="none"/>
      </font>
      <fill>
        <patternFill>
          <bgColor rgb="FF00B050"/>
        </patternFill>
      </fill>
      <alignment horizontal="general" vertical="center" textRotation="0" wrapText="1" indent="0" justifyLastLine="0" shrinkToFit="0" readingOrder="0"/>
    </dxf>
    <dxf>
      <font>
        <strike val="0"/>
        <outline val="0"/>
        <shadow val="0"/>
        <u val="none"/>
        <vertAlign val="baseline"/>
        <sz val="11"/>
        <color theme="1"/>
        <name val="Bold"/>
        <scheme val="none"/>
      </font>
      <fill>
        <patternFill>
          <bgColor rgb="FF00B050"/>
        </patternFill>
      </fill>
      <alignment horizontal="general" vertical="center" textRotation="0" wrapText="1" indent="0" justifyLastLine="0" shrinkToFit="0" readingOrder="0"/>
    </dxf>
    <dxf>
      <font>
        <strike val="0"/>
        <outline val="0"/>
        <shadow val="0"/>
        <u val="none"/>
        <vertAlign val="baseline"/>
        <sz val="11"/>
        <color theme="1"/>
        <name val="Bold"/>
        <scheme val="none"/>
      </font>
      <fill>
        <patternFill>
          <bgColor rgb="FF00B050"/>
        </patternFill>
      </fill>
      <alignment horizontal="general" vertical="center" textRotation="0" wrapText="1" indent="0" justifyLastLine="0" shrinkToFit="0" readingOrder="0"/>
    </dxf>
    <dxf>
      <font>
        <strike val="0"/>
        <outline val="0"/>
        <shadow val="0"/>
        <u val="none"/>
        <vertAlign val="baseline"/>
        <sz val="11"/>
        <color theme="1"/>
        <name val="Bold"/>
        <scheme val="none"/>
      </font>
      <fill>
        <patternFill>
          <bgColor rgb="FF00B050"/>
        </patternFill>
      </fill>
      <alignment horizontal="general" vertical="center" textRotation="0" wrapText="1" indent="0" justifyLastLine="0" shrinkToFit="0" readingOrder="0"/>
    </dxf>
    <dxf>
      <font>
        <strike val="0"/>
        <outline val="0"/>
        <shadow val="0"/>
        <u val="none"/>
        <vertAlign val="baseline"/>
        <sz val="11"/>
        <color theme="1"/>
        <name val="Bold"/>
        <scheme val="none"/>
      </font>
      <fill>
        <patternFill>
          <bgColor rgb="FF00B050"/>
        </patternFill>
      </fill>
      <alignment horizontal="general" vertical="center" textRotation="0" wrapText="1" indent="0" justifyLastLine="0" shrinkToFit="0" readingOrder="0"/>
    </dxf>
    <dxf>
      <font>
        <strike val="0"/>
        <outline val="0"/>
        <shadow val="0"/>
        <u val="none"/>
        <vertAlign val="baseline"/>
        <sz val="11"/>
        <color theme="1"/>
        <name val="Bold"/>
        <scheme val="none"/>
      </font>
      <alignment horizontal="general" vertical="center" textRotation="0" wrapText="1" indent="0" justifyLastLine="0" shrinkToFit="0" readingOrder="0"/>
    </dxf>
    <dxf>
      <font>
        <strike val="0"/>
        <outline val="0"/>
        <shadow val="0"/>
        <u val="none"/>
        <vertAlign val="baseline"/>
        <sz val="11"/>
        <color theme="1"/>
        <name val="Bold"/>
        <scheme val="none"/>
      </font>
      <alignment horizontal="general" vertical="center" textRotation="0" wrapText="1" indent="0" justifyLastLine="0" shrinkToFit="0" readingOrder="0"/>
    </dxf>
    <dxf>
      <font>
        <strike val="0"/>
        <outline val="0"/>
        <shadow val="0"/>
        <u val="none"/>
        <vertAlign val="baseline"/>
        <sz val="11"/>
        <color theme="1"/>
        <name val="Bold"/>
        <scheme val="none"/>
      </font>
      <alignment horizontal="general" vertical="center" textRotation="0" wrapText="1" indent="0" justifyLastLine="0" shrinkToFit="0" readingOrder="0"/>
    </dxf>
    <dxf>
      <font>
        <strike val="0"/>
        <outline val="0"/>
        <shadow val="0"/>
        <u val="none"/>
        <vertAlign val="baseline"/>
        <sz val="11"/>
        <color theme="1"/>
        <name val="Bold"/>
        <scheme val="none"/>
      </font>
      <alignment horizontal="general" vertical="center" textRotation="0" wrapText="1" indent="0" justifyLastLine="0" shrinkToFit="0" readingOrder="0"/>
    </dxf>
    <dxf>
      <font>
        <strike val="0"/>
        <outline val="0"/>
        <shadow val="0"/>
        <u val="none"/>
        <vertAlign val="baseline"/>
        <sz val="11"/>
        <color theme="1"/>
        <name val="Bold"/>
        <scheme val="none"/>
      </font>
      <alignment horizontal="general" vertical="center" textRotation="0" wrapText="1" indent="0" justifyLastLine="0" shrinkToFit="0" readingOrder="0"/>
    </dxf>
    <dxf>
      <font>
        <strike val="0"/>
        <outline val="0"/>
        <shadow val="0"/>
        <u val="none"/>
        <vertAlign val="baseline"/>
        <sz val="11"/>
        <color theme="1"/>
        <name val="Bold"/>
        <scheme val="none"/>
      </font>
      <alignment horizontal="general" vertical="center" textRotation="0" wrapText="1" indent="0" justifyLastLine="0" shrinkToFit="0" readingOrder="0"/>
    </dxf>
    <dxf>
      <font>
        <strike val="0"/>
        <outline val="0"/>
        <shadow val="0"/>
        <u val="none"/>
        <vertAlign val="baseline"/>
        <sz val="11"/>
        <color theme="1"/>
        <name val="Bold"/>
        <scheme val="none"/>
      </font>
      <alignment horizontal="general" vertical="center" textRotation="0" wrapText="1" indent="0" justifyLastLine="0" shrinkToFit="0" readingOrder="0"/>
    </dxf>
    <dxf>
      <font>
        <strike val="0"/>
        <outline val="0"/>
        <shadow val="0"/>
        <u val="none"/>
        <vertAlign val="baseline"/>
        <sz val="11"/>
        <color theme="1"/>
        <name val="Bold"/>
        <scheme val="none"/>
      </font>
    </dxf>
    <dxf>
      <font>
        <strike val="0"/>
        <outline val="0"/>
        <shadow val="0"/>
        <u val="none"/>
        <vertAlign val="baseline"/>
        <sz val="11"/>
        <color theme="1"/>
        <name val="Bold"/>
        <scheme val="none"/>
      </font>
      <fill>
        <patternFill>
          <bgColor rgb="FF00B050"/>
        </patternFill>
      </fill>
      <alignment horizontal="general" vertical="center" textRotation="0" wrapText="1" indent="0" justifyLastLine="0" shrinkToFit="0" readingOrder="0"/>
    </dxf>
    <dxf>
      <font>
        <strike val="0"/>
        <outline val="0"/>
        <shadow val="0"/>
        <u val="none"/>
        <vertAlign val="baseline"/>
        <sz val="11"/>
        <color theme="1"/>
        <name val="Bold"/>
        <scheme val="none"/>
      </font>
      <fill>
        <patternFill>
          <bgColor rgb="FF00B050"/>
        </patternFill>
      </fill>
      <alignment horizontal="general" vertical="center" textRotation="0" wrapText="1" indent="0" justifyLastLine="0" shrinkToFit="0" readingOrder="0"/>
    </dxf>
    <dxf>
      <font>
        <strike val="0"/>
        <outline val="0"/>
        <shadow val="0"/>
        <u val="none"/>
        <vertAlign val="baseline"/>
        <sz val="11"/>
        <color theme="1"/>
        <name val="Bold"/>
        <scheme val="none"/>
      </font>
      <fill>
        <patternFill>
          <bgColor rgb="FF00B050"/>
        </patternFill>
      </fill>
      <alignment horizontal="general" vertical="center" textRotation="0" wrapText="1" indent="0" justifyLastLine="0" shrinkToFit="0" readingOrder="0"/>
    </dxf>
    <dxf>
      <font>
        <strike val="0"/>
        <outline val="0"/>
        <shadow val="0"/>
        <u val="none"/>
        <vertAlign val="baseline"/>
        <sz val="11"/>
        <color theme="1"/>
        <name val="Bold"/>
        <scheme val="none"/>
      </font>
      <fill>
        <patternFill>
          <bgColor rgb="FF00B050"/>
        </patternFill>
      </fill>
      <alignment horizontal="general" vertical="center" textRotation="0" wrapText="1" indent="0" justifyLastLine="0" shrinkToFit="0" readingOrder="0"/>
    </dxf>
    <dxf>
      <font>
        <strike val="0"/>
        <outline val="0"/>
        <shadow val="0"/>
        <u val="none"/>
        <vertAlign val="baseline"/>
        <sz val="11"/>
        <color theme="1"/>
        <name val="Bold"/>
        <scheme val="none"/>
      </font>
      <fill>
        <patternFill>
          <bgColor rgb="FF00B050"/>
        </patternFill>
      </fill>
      <alignment horizontal="general" vertical="center" textRotation="0" wrapText="1" indent="0" justifyLastLine="0" shrinkToFit="0" readingOrder="0"/>
    </dxf>
    <dxf>
      <font>
        <strike val="0"/>
        <outline val="0"/>
        <shadow val="0"/>
        <u val="none"/>
        <vertAlign val="baseline"/>
        <sz val="11"/>
        <color theme="1"/>
        <name val="Bold"/>
        <scheme val="none"/>
      </font>
      <alignment horizontal="general" vertical="center" textRotation="0" wrapText="1" indent="0" justifyLastLine="0" shrinkToFit="0" readingOrder="0"/>
    </dxf>
    <dxf>
      <font>
        <strike val="0"/>
        <outline val="0"/>
        <shadow val="0"/>
        <u val="none"/>
        <vertAlign val="baseline"/>
        <sz val="11"/>
        <color theme="1"/>
        <name val="Bold"/>
        <scheme val="none"/>
      </font>
      <alignment horizontal="general" vertical="center" textRotation="0" wrapText="1" indent="0" justifyLastLine="0" shrinkToFit="0" readingOrder="0"/>
    </dxf>
    <dxf>
      <font>
        <strike val="0"/>
        <outline val="0"/>
        <shadow val="0"/>
        <u val="none"/>
        <vertAlign val="baseline"/>
        <sz val="11"/>
        <color theme="1"/>
        <name val="Bold"/>
        <scheme val="none"/>
      </font>
      <alignment horizontal="general" vertical="center" textRotation="0" wrapText="1" indent="0" justifyLastLine="0" shrinkToFit="0" readingOrder="0"/>
    </dxf>
    <dxf>
      <font>
        <strike val="0"/>
        <outline val="0"/>
        <shadow val="0"/>
        <u val="none"/>
        <vertAlign val="baseline"/>
        <sz val="11"/>
        <color theme="1"/>
        <name val="Bold"/>
        <scheme val="none"/>
      </font>
      <alignment horizontal="general" vertical="center" textRotation="0" wrapText="1" indent="0" justifyLastLine="0" shrinkToFit="0" readingOrder="0"/>
    </dxf>
    <dxf>
      <font>
        <strike val="0"/>
        <outline val="0"/>
        <shadow val="0"/>
        <u val="none"/>
        <vertAlign val="baseline"/>
        <sz val="11"/>
        <color theme="1"/>
        <name val="Bold"/>
        <scheme val="none"/>
      </font>
      <alignment horizontal="general" vertical="center" textRotation="0" wrapText="1" indent="0" justifyLastLine="0" shrinkToFit="0" readingOrder="0"/>
    </dxf>
    <dxf>
      <font>
        <strike val="0"/>
        <outline val="0"/>
        <shadow val="0"/>
        <u val="none"/>
        <vertAlign val="baseline"/>
        <sz val="11"/>
        <color theme="1"/>
        <name val="Bold"/>
        <scheme val="none"/>
      </font>
      <alignment horizontal="general" vertical="center" textRotation="0" wrapText="1" indent="0" justifyLastLine="0" shrinkToFit="0" readingOrder="0"/>
    </dxf>
    <dxf>
      <font>
        <strike val="0"/>
        <outline val="0"/>
        <shadow val="0"/>
        <u val="none"/>
        <vertAlign val="baseline"/>
        <sz val="11"/>
        <color theme="1"/>
        <name val="Bold"/>
        <scheme val="none"/>
      </font>
      <alignment horizontal="general" vertical="center" textRotation="0" wrapText="1" indent="0" justifyLastLine="0" shrinkToFit="0" readingOrder="0"/>
    </dxf>
    <dxf>
      <font>
        <strike val="0"/>
        <outline val="0"/>
        <shadow val="0"/>
        <u val="none"/>
        <vertAlign val="baseline"/>
        <sz val="11"/>
        <color theme="1"/>
        <name val="Bold"/>
        <scheme val="none"/>
      </font>
    </dxf>
    <dxf>
      <font>
        <b val="0"/>
        <i val="0"/>
        <strike val="0"/>
        <condense val="0"/>
        <extend val="0"/>
        <outline val="0"/>
        <shadow val="0"/>
        <u val="none"/>
        <vertAlign val="baseline"/>
        <sz val="11"/>
        <color auto="1"/>
        <name val="Bold"/>
        <scheme val="none"/>
      </font>
      <numFmt numFmtId="5" formatCode="#,##0_);\(#,##0\)"/>
      <fill>
        <patternFill patternType="solid">
          <fgColor indexed="64"/>
          <bgColor rgb="FF00B050"/>
        </patternFill>
      </fill>
      <alignment horizontal="right" vertical="top" textRotation="0" wrapText="0" indent="0" justifyLastLine="0" shrinkToFit="0" readingOrder="0"/>
    </dxf>
    <dxf>
      <font>
        <b val="0"/>
        <i val="0"/>
        <strike val="0"/>
        <condense val="0"/>
        <extend val="0"/>
        <outline val="0"/>
        <shadow val="0"/>
        <u val="none"/>
        <vertAlign val="baseline"/>
        <sz val="11"/>
        <color auto="1"/>
        <name val="Bold"/>
        <scheme val="none"/>
      </font>
      <numFmt numFmtId="5" formatCode="#,##0_);\(#,##0\)"/>
      <fill>
        <patternFill patternType="solid">
          <fgColor indexed="64"/>
          <bgColor rgb="FF00B050"/>
        </patternFill>
      </fill>
      <alignment horizontal="right" vertical="top" textRotation="0" wrapText="0" indent="0" justifyLastLine="0" shrinkToFit="0" readingOrder="0"/>
    </dxf>
    <dxf>
      <font>
        <b val="0"/>
        <i val="0"/>
        <strike val="0"/>
        <condense val="0"/>
        <extend val="0"/>
        <outline val="0"/>
        <shadow val="0"/>
        <u val="none"/>
        <vertAlign val="baseline"/>
        <sz val="11"/>
        <color auto="1"/>
        <name val="Bold"/>
        <scheme val="none"/>
      </font>
      <numFmt numFmtId="5" formatCode="#,##0_);\(#,##0\)"/>
      <fill>
        <patternFill patternType="solid">
          <fgColor indexed="64"/>
          <bgColor rgb="FF00B050"/>
        </patternFill>
      </fill>
      <alignment horizontal="right" vertical="top" textRotation="0" wrapText="0" indent="0" justifyLastLine="0" shrinkToFit="0" readingOrder="0"/>
    </dxf>
    <dxf>
      <font>
        <b val="0"/>
        <i val="0"/>
        <strike val="0"/>
        <condense val="0"/>
        <extend val="0"/>
        <outline val="0"/>
        <shadow val="0"/>
        <u val="none"/>
        <vertAlign val="baseline"/>
        <sz val="11"/>
        <color auto="1"/>
        <name val="Bold"/>
        <scheme val="none"/>
      </font>
      <numFmt numFmtId="5" formatCode="#,##0_);\(#,##0\)"/>
      <fill>
        <patternFill patternType="solid">
          <fgColor indexed="64"/>
          <bgColor rgb="FF00B050"/>
        </patternFill>
      </fill>
      <alignment horizontal="right" vertical="top" textRotation="0" wrapText="0" indent="0" justifyLastLine="0" shrinkToFit="0" readingOrder="0"/>
    </dxf>
    <dxf>
      <font>
        <b val="0"/>
        <i val="0"/>
        <strike val="0"/>
        <condense val="0"/>
        <extend val="0"/>
        <outline val="0"/>
        <shadow val="0"/>
        <u val="none"/>
        <vertAlign val="baseline"/>
        <sz val="11"/>
        <color auto="1"/>
        <name val="Bold"/>
        <scheme val="none"/>
      </font>
      <numFmt numFmtId="5" formatCode="#,##0_);\(#,##0\)"/>
      <fill>
        <patternFill patternType="solid">
          <fgColor indexed="64"/>
          <bgColor rgb="FF00B050"/>
        </patternFill>
      </fill>
      <alignment horizontal="right" vertical="top" textRotation="0" wrapText="0" indent="0" justifyLastLine="0" shrinkToFit="0" readingOrder="0"/>
    </dxf>
    <dxf>
      <font>
        <b val="0"/>
        <i val="0"/>
        <strike val="0"/>
        <condense val="0"/>
        <extend val="0"/>
        <outline val="0"/>
        <shadow val="0"/>
        <u val="none"/>
        <vertAlign val="baseline"/>
        <sz val="11"/>
        <color auto="1"/>
        <name val="Bold"/>
        <scheme val="none"/>
      </font>
      <numFmt numFmtId="169" formatCode="#,##0;\-#,##0"/>
      <alignment horizontal="right" vertical="top" textRotation="0" wrapText="0" indent="0" justifyLastLine="0" shrinkToFit="0" readingOrder="0"/>
    </dxf>
    <dxf>
      <font>
        <b val="0"/>
        <i val="0"/>
        <strike val="0"/>
        <condense val="0"/>
        <extend val="0"/>
        <outline val="0"/>
        <shadow val="0"/>
        <u val="none"/>
        <vertAlign val="baseline"/>
        <sz val="11"/>
        <color auto="1"/>
        <name val="Bold"/>
        <scheme val="none"/>
      </font>
      <numFmt numFmtId="169" formatCode="#,##0;\-#,##0"/>
      <alignment horizontal="right" vertical="top" textRotation="0" wrapText="0" indent="0" justifyLastLine="0" shrinkToFit="0" readingOrder="0"/>
    </dxf>
    <dxf>
      <font>
        <b val="0"/>
        <i val="0"/>
        <strike val="0"/>
        <condense val="0"/>
        <extend val="0"/>
        <outline val="0"/>
        <shadow val="0"/>
        <u val="none"/>
        <vertAlign val="baseline"/>
        <sz val="11"/>
        <color auto="1"/>
        <name val="Bold"/>
        <scheme val="none"/>
      </font>
      <numFmt numFmtId="169" formatCode="#,##0;\-#,##0"/>
      <alignment horizontal="right" vertical="top" textRotation="0" wrapText="0" indent="0" justifyLastLine="0" shrinkToFit="0" readingOrder="0"/>
    </dxf>
    <dxf>
      <font>
        <b val="0"/>
        <i val="0"/>
        <strike val="0"/>
        <condense val="0"/>
        <extend val="0"/>
        <outline val="0"/>
        <shadow val="0"/>
        <u val="none"/>
        <vertAlign val="baseline"/>
        <sz val="11"/>
        <color auto="1"/>
        <name val="Bold"/>
        <scheme val="none"/>
      </font>
      <numFmt numFmtId="169" formatCode="#,##0;\-#,##0"/>
      <alignment horizontal="right" vertical="top" textRotation="0" wrapText="0" indent="0" justifyLastLine="0" shrinkToFit="0" readingOrder="0"/>
    </dxf>
    <dxf>
      <font>
        <b val="0"/>
        <i val="0"/>
        <strike val="0"/>
        <condense val="0"/>
        <extend val="0"/>
        <outline val="0"/>
        <shadow val="0"/>
        <u val="none"/>
        <vertAlign val="baseline"/>
        <sz val="11"/>
        <color auto="1"/>
        <name val="Bold"/>
        <scheme val="none"/>
      </font>
      <numFmt numFmtId="169" formatCode="#,##0;\-#,##0"/>
      <alignment horizontal="right" vertical="top" textRotation="0" wrapText="0" indent="0" justifyLastLine="0" shrinkToFit="0" readingOrder="0"/>
    </dxf>
    <dxf>
      <font>
        <strike val="0"/>
        <outline val="0"/>
        <shadow val="0"/>
        <u val="none"/>
        <vertAlign val="baseline"/>
        <sz val="11"/>
        <name val="Bold"/>
        <scheme val="none"/>
      </font>
    </dxf>
    <dxf>
      <font>
        <b val="0"/>
        <i val="0"/>
        <strike val="0"/>
        <condense val="0"/>
        <extend val="0"/>
        <outline val="0"/>
        <shadow val="0"/>
        <u val="none"/>
        <vertAlign val="baseline"/>
        <sz val="11"/>
        <color auto="1"/>
        <name val="Bold"/>
        <scheme val="none"/>
      </font>
      <alignment horizontal="right" vertical="top" textRotation="0" wrapText="0" indent="0" justifyLastLine="0" shrinkToFit="0" readingOrder="0"/>
    </dxf>
    <dxf>
      <font>
        <b/>
        <i val="0"/>
        <strike val="0"/>
        <condense val="0"/>
        <extend val="0"/>
        <outline val="0"/>
        <shadow val="0"/>
        <u val="none"/>
        <vertAlign val="baseline"/>
        <sz val="10"/>
        <color auto="1"/>
        <name val="Bold"/>
        <scheme val="none"/>
      </font>
      <alignment horizontal="center" vertical="center" textRotation="0" wrapText="1" indent="0" justifyLastLine="0" shrinkToFit="0" readingOrder="0"/>
    </dxf>
    <dxf>
      <font>
        <b val="0"/>
        <i val="0"/>
        <strike val="0"/>
        <condense val="0"/>
        <extend val="0"/>
        <outline val="0"/>
        <shadow val="0"/>
        <u val="none"/>
        <vertAlign val="baseline"/>
        <sz val="11"/>
        <color auto="1"/>
        <name val="Bold"/>
        <scheme val="none"/>
      </font>
      <numFmt numFmtId="0" formatCode="General"/>
      <fill>
        <patternFill patternType="solid">
          <fgColor indexed="64"/>
          <bgColor rgb="FF00B050"/>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Bold"/>
        <scheme val="none"/>
      </font>
      <numFmt numFmtId="0" formatCode="General"/>
      <fill>
        <patternFill patternType="solid">
          <fgColor indexed="64"/>
          <bgColor rgb="FF00B050"/>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Bold"/>
        <scheme val="none"/>
      </font>
      <numFmt numFmtId="0" formatCode="General"/>
      <fill>
        <patternFill patternType="solid">
          <fgColor indexed="64"/>
          <bgColor rgb="FF00B050"/>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Bold"/>
        <scheme val="none"/>
      </font>
      <numFmt numFmtId="0" formatCode="General"/>
      <fill>
        <patternFill patternType="solid">
          <fgColor indexed="64"/>
          <bgColor rgb="FF00B050"/>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Bold"/>
        <scheme val="none"/>
      </font>
      <numFmt numFmtId="2" formatCode="0.00"/>
      <fill>
        <patternFill patternType="solid">
          <fgColor indexed="64"/>
          <bgColor rgb="FF00B050"/>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Bold"/>
        <scheme val="none"/>
      </font>
      <alignment horizontal="general" vertical="top" textRotation="0" wrapText="1" indent="0" justifyLastLine="0" shrinkToFit="0" readingOrder="0"/>
    </dxf>
    <dxf>
      <font>
        <b val="0"/>
        <i val="0"/>
        <strike val="0"/>
        <condense val="0"/>
        <extend val="0"/>
        <outline val="0"/>
        <shadow val="0"/>
        <u val="none"/>
        <vertAlign val="baseline"/>
        <sz val="11"/>
        <color auto="1"/>
        <name val="Bold"/>
        <scheme val="none"/>
      </font>
      <alignment horizontal="general" vertical="top" textRotation="0" wrapText="1" indent="0" justifyLastLine="0" shrinkToFit="0" readingOrder="0"/>
    </dxf>
    <dxf>
      <font>
        <b val="0"/>
        <i val="0"/>
        <strike val="0"/>
        <condense val="0"/>
        <extend val="0"/>
        <outline val="0"/>
        <shadow val="0"/>
        <u val="none"/>
        <vertAlign val="baseline"/>
        <sz val="11"/>
        <color auto="1"/>
        <name val="Bold"/>
        <scheme val="none"/>
      </font>
      <alignment horizontal="general" vertical="top" textRotation="0" wrapText="1" indent="0" justifyLastLine="0" shrinkToFit="0" readingOrder="0"/>
    </dxf>
    <dxf>
      <font>
        <strike val="0"/>
        <outline val="0"/>
        <shadow val="0"/>
        <u val="none"/>
        <vertAlign val="baseline"/>
        <sz val="11"/>
        <name val="Bold"/>
        <scheme val="none"/>
      </font>
    </dxf>
    <dxf>
      <font>
        <strike val="0"/>
        <outline val="0"/>
        <shadow val="0"/>
        <u val="none"/>
        <vertAlign val="baseline"/>
        <sz val="11"/>
        <name val="Bold"/>
        <scheme val="none"/>
      </font>
    </dxf>
    <dxf>
      <font>
        <strike val="0"/>
        <outline val="0"/>
        <shadow val="0"/>
        <u val="none"/>
        <vertAlign val="baseline"/>
        <sz val="11"/>
        <name val="Bold"/>
        <scheme val="none"/>
      </font>
    </dxf>
    <dxf>
      <font>
        <b val="0"/>
        <i val="0"/>
        <strike val="0"/>
        <condense val="0"/>
        <extend val="0"/>
        <outline val="0"/>
        <shadow val="0"/>
        <u val="none"/>
        <vertAlign val="baseline"/>
        <sz val="11"/>
        <color auto="1"/>
        <name val="Bold"/>
        <scheme val="none"/>
      </font>
      <alignment horizontal="general" vertical="top" textRotation="0" wrapText="1" indent="0" justifyLastLine="0" shrinkToFit="0" readingOrder="0"/>
    </dxf>
    <dxf>
      <font>
        <b/>
        <i val="0"/>
        <strike val="0"/>
        <condense val="0"/>
        <extend val="0"/>
        <outline val="0"/>
        <shadow val="0"/>
        <u val="none"/>
        <vertAlign val="baseline"/>
        <sz val="11"/>
        <color auto="1"/>
        <name val="Bold"/>
        <scheme val="none"/>
      </font>
      <alignment horizontal="center" vertical="center" textRotation="0" wrapText="1" indent="0" justifyLastLine="0" shrinkToFit="0" readingOrder="0"/>
    </dxf>
    <dxf>
      <font>
        <strike val="0"/>
        <outline val="0"/>
        <shadow val="0"/>
        <u val="none"/>
        <vertAlign val="baseline"/>
        <name val="Bold"/>
        <scheme val="none"/>
      </font>
      <numFmt numFmtId="0" formatCode="General"/>
      <fill>
        <patternFill patternType="solid">
          <fgColor indexed="64"/>
          <bgColor rgb="FF00B050"/>
        </patternFill>
      </fill>
    </dxf>
    <dxf>
      <font>
        <strike val="0"/>
        <outline val="0"/>
        <shadow val="0"/>
        <u val="none"/>
        <vertAlign val="baseline"/>
        <name val="Bold"/>
        <scheme val="none"/>
      </font>
      <numFmt numFmtId="0" formatCode="General"/>
      <fill>
        <patternFill patternType="solid">
          <fgColor indexed="64"/>
          <bgColor rgb="FF00B050"/>
        </patternFill>
      </fill>
    </dxf>
    <dxf>
      <font>
        <strike val="0"/>
        <outline val="0"/>
        <shadow val="0"/>
        <u val="none"/>
        <vertAlign val="baseline"/>
        <name val="Bold"/>
        <scheme val="none"/>
      </font>
      <numFmt numFmtId="2" formatCode="0.00"/>
      <fill>
        <patternFill patternType="solid">
          <fgColor indexed="64"/>
          <bgColor rgb="FF00B050"/>
        </patternFill>
      </fill>
    </dxf>
    <dxf>
      <font>
        <strike val="0"/>
        <outline val="0"/>
        <shadow val="0"/>
        <u val="none"/>
        <vertAlign val="baseline"/>
        <name val="Bold"/>
        <scheme val="none"/>
      </font>
      <numFmt numFmtId="2" formatCode="0.00"/>
      <fill>
        <patternFill patternType="solid">
          <fgColor indexed="64"/>
          <bgColor rgb="FF00B050"/>
        </patternFill>
      </fill>
    </dxf>
    <dxf>
      <font>
        <strike val="0"/>
        <outline val="0"/>
        <shadow val="0"/>
        <u val="none"/>
        <vertAlign val="baseline"/>
        <name val="Bold"/>
        <scheme val="none"/>
      </font>
      <numFmt numFmtId="13" formatCode="0%"/>
      <fill>
        <patternFill patternType="solid">
          <fgColor indexed="64"/>
          <bgColor rgb="FF00B050"/>
        </patternFill>
      </fill>
    </dxf>
    <dxf>
      <font>
        <strike val="0"/>
        <outline val="0"/>
        <shadow val="0"/>
        <u val="none"/>
        <vertAlign val="baseline"/>
        <name val="Bold"/>
        <scheme val="none"/>
      </font>
    </dxf>
    <dxf>
      <font>
        <strike val="0"/>
        <outline val="0"/>
        <shadow val="0"/>
        <u val="none"/>
        <vertAlign val="baseline"/>
        <name val="Bold"/>
        <scheme val="none"/>
      </font>
    </dxf>
    <dxf>
      <font>
        <strike val="0"/>
        <outline val="0"/>
        <shadow val="0"/>
        <u val="none"/>
        <vertAlign val="baseline"/>
        <name val="Bold"/>
        <scheme val="none"/>
      </font>
    </dxf>
    <dxf>
      <font>
        <strike val="0"/>
        <outline val="0"/>
        <shadow val="0"/>
        <u val="none"/>
        <vertAlign val="baseline"/>
        <name val="Bold"/>
        <scheme val="none"/>
      </font>
    </dxf>
    <dxf>
      <font>
        <strike val="0"/>
        <outline val="0"/>
        <shadow val="0"/>
        <u val="none"/>
        <vertAlign val="baseline"/>
        <name val="Bold"/>
        <scheme val="none"/>
      </font>
    </dxf>
    <dxf>
      <font>
        <strike val="0"/>
        <outline val="0"/>
        <shadow val="0"/>
        <u val="none"/>
        <vertAlign val="baseline"/>
        <name val="Bold"/>
        <scheme val="none"/>
      </font>
    </dxf>
    <dxf>
      <font>
        <strike val="0"/>
        <outline val="0"/>
        <shadow val="0"/>
        <u val="none"/>
        <vertAlign val="baseline"/>
        <name val="Bold"/>
        <scheme val="none"/>
      </font>
    </dxf>
    <dxf>
      <font>
        <strike val="0"/>
        <outline val="0"/>
        <shadow val="0"/>
        <u val="none"/>
        <vertAlign val="baseline"/>
        <name val="Bold"/>
        <scheme val="none"/>
      </font>
    </dxf>
    <dxf>
      <numFmt numFmtId="1" formatCode="0"/>
      <alignment horizontal="general" vertical="center" textRotation="0" wrapText="1" indent="0" justifyLastLine="0" shrinkToFit="0" readingOrder="0"/>
    </dxf>
    <dxf>
      <numFmt numFmtId="1" formatCode="0"/>
      <alignment horizontal="general" vertical="center" textRotation="0" wrapText="1" indent="0" justifyLastLine="0" shrinkToFit="0" readingOrder="0"/>
    </dxf>
    <dxf>
      <numFmt numFmtId="1" formatCode="0"/>
      <alignment horizontal="general" vertical="center" textRotation="0" wrapText="1" indent="0" justifyLastLine="0" shrinkToFit="0" readingOrder="0"/>
    </dxf>
    <dxf>
      <numFmt numFmtId="1" formatCode="0"/>
      <alignment horizontal="general" vertical="center" textRotation="0" wrapText="1" indent="0" justifyLastLine="0" shrinkToFit="0" readingOrder="0"/>
    </dxf>
    <dxf>
      <numFmt numFmtId="1" formatCode="0"/>
      <alignment horizontal="general" vertical="center" textRotation="0" wrapText="1" indent="0" justifyLastLine="0" shrinkToFit="0" readingOrder="0"/>
    </dxf>
    <dxf>
      <numFmt numFmtId="14" formatCode="0.00%"/>
      <alignment horizontal="general" vertical="center" textRotation="0" wrapText="1" indent="0" justifyLastLine="0" shrinkToFit="0" readingOrder="0"/>
    </dxf>
    <dxf>
      <numFmt numFmtId="1" formatCode="0"/>
      <alignment horizontal="general" vertical="center" textRotation="0" wrapText="1" indent="0" justifyLastLine="0" shrinkToFit="0" readingOrder="0"/>
    </dxf>
    <dxf>
      <numFmt numFmtId="1" formatCode="0"/>
      <alignment horizontal="general" vertical="center" textRotation="0" wrapText="1" indent="0" justifyLastLine="0" shrinkToFit="0" readingOrder="0"/>
    </dxf>
    <dxf>
      <numFmt numFmtId="1" formatCode="0"/>
      <alignment horizontal="general" vertical="center" textRotation="0" wrapText="1" indent="0" justifyLastLine="0" shrinkToFit="0" readingOrder="0"/>
    </dxf>
    <dxf>
      <numFmt numFmtId="1" formatCode="0"/>
      <alignment horizontal="general" vertical="center" textRotation="0" wrapText="1" indent="0" justifyLastLine="0" shrinkToFit="0" readingOrder="0"/>
    </dxf>
    <dxf>
      <numFmt numFmtId="1" formatCode="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numFmt numFmtId="1" formatCode="0"/>
      <alignment horizontal="general" vertical="center" textRotation="0" wrapText="1" indent="0" justifyLastLine="0" shrinkToFit="0" readingOrder="0"/>
    </dxf>
    <dxf>
      <numFmt numFmtId="1" formatCode="0"/>
      <alignment horizontal="general" vertical="center" textRotation="0" wrapText="1" indent="0" justifyLastLine="0" shrinkToFit="0" readingOrder="0"/>
    </dxf>
    <dxf>
      <numFmt numFmtId="1" formatCode="0"/>
      <alignment horizontal="general" vertical="center" textRotation="0" wrapText="1" indent="0" justifyLastLine="0" shrinkToFit="0" readingOrder="0"/>
    </dxf>
    <dxf>
      <numFmt numFmtId="1" formatCode="0"/>
      <alignment horizontal="general" vertical="center" textRotation="0" wrapText="1" indent="0" justifyLastLine="0" shrinkToFit="0" readingOrder="0"/>
    </dxf>
    <dxf>
      <numFmt numFmtId="1" formatCode="0"/>
      <alignment horizontal="general" vertical="center" textRotation="0" wrapText="1" indent="0" justifyLastLine="0" shrinkToFit="0" readingOrder="0"/>
    </dxf>
    <dxf>
      <numFmt numFmtId="14" formatCode="0.00%"/>
      <alignment horizontal="general" vertical="center" textRotation="0" wrapText="1" indent="0" justifyLastLine="0" shrinkToFit="0" readingOrder="0"/>
    </dxf>
    <dxf>
      <numFmt numFmtId="1" formatCode="0"/>
      <alignment horizontal="general" vertical="center" textRotation="0" wrapText="1" indent="0" justifyLastLine="0" shrinkToFit="0" readingOrder="0"/>
    </dxf>
    <dxf>
      <numFmt numFmtId="1" formatCode="0"/>
      <alignment horizontal="general" vertical="center" textRotation="0" wrapText="1" indent="0" justifyLastLine="0" shrinkToFit="0" readingOrder="0"/>
    </dxf>
    <dxf>
      <numFmt numFmtId="1" formatCode="0"/>
      <alignment horizontal="general" vertical="center" textRotation="0" wrapText="1" indent="0" justifyLastLine="0" shrinkToFit="0" readingOrder="0"/>
    </dxf>
    <dxf>
      <numFmt numFmtId="1" formatCode="0"/>
      <alignment horizontal="general" vertical="center" textRotation="0" wrapText="1" indent="0" justifyLastLine="0" shrinkToFit="0" readingOrder="0"/>
    </dxf>
    <dxf>
      <numFmt numFmtId="1" formatCode="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Bold"/>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1"/>
        <color theme="1"/>
        <name val="Bold"/>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1"/>
        <color theme="1"/>
        <name val="Bold"/>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1"/>
        <color theme="1"/>
        <name val="Bold"/>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1"/>
        <color theme="1"/>
        <name val="Bold"/>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1"/>
        <color theme="1"/>
        <name val="Bold"/>
        <scheme val="none"/>
      </font>
      <numFmt numFmtId="14" formatCode="0.00%"/>
      <alignment horizontal="general" vertical="center" textRotation="0" wrapText="1" indent="0" justifyLastLine="0" shrinkToFit="0" readingOrder="0"/>
    </dxf>
    <dxf>
      <font>
        <b val="0"/>
        <i val="0"/>
        <strike val="0"/>
        <condense val="0"/>
        <extend val="0"/>
        <outline val="0"/>
        <shadow val="0"/>
        <u val="none"/>
        <vertAlign val="baseline"/>
        <sz val="11"/>
        <color theme="1"/>
        <name val="Bold"/>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1"/>
        <color theme="1"/>
        <name val="Bold"/>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1"/>
        <color theme="1"/>
        <name val="Bold"/>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1"/>
        <color theme="1"/>
        <name val="Bold"/>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1"/>
        <color theme="1"/>
        <name val="Bold"/>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1"/>
        <color theme="1"/>
        <name val="Bold"/>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Bold"/>
        <scheme val="none"/>
      </font>
      <alignment horizontal="general" vertical="center" textRotation="0" wrapText="1" indent="0" justifyLastLine="0" shrinkToFit="0" readingOrder="0"/>
    </dxf>
    <dxf>
      <font>
        <b/>
        <i val="0"/>
        <strike val="0"/>
        <condense val="0"/>
        <extend val="0"/>
        <outline val="0"/>
        <shadow val="0"/>
        <u val="none"/>
        <vertAlign val="baseline"/>
        <sz val="11"/>
        <color theme="1"/>
        <name val="Bold"/>
        <scheme val="none"/>
      </font>
      <alignment horizontal="center" vertical="center" textRotation="0" wrapText="1" indent="0" justifyLastLine="0" shrinkToFit="0" readingOrder="0"/>
    </dxf>
    <dxf>
      <numFmt numFmtId="13" formatCode="0%"/>
    </dxf>
    <dxf>
      <numFmt numFmtId="13" formatCode="0%"/>
    </dxf>
    <dxf>
      <font>
        <b/>
        <i val="0"/>
        <strike val="0"/>
        <condense val="0"/>
        <extend val="0"/>
        <outline val="0"/>
        <shadow val="0"/>
        <u val="none"/>
        <vertAlign val="baseline"/>
        <sz val="11"/>
        <color theme="1"/>
        <name val="Aptos Narrow"/>
        <family val="2"/>
        <scheme val="minor"/>
      </font>
    </dxf>
    <dxf>
      <font>
        <strike val="0"/>
        <outline val="0"/>
        <shadow val="0"/>
        <u val="none"/>
        <vertAlign val="baseline"/>
        <sz val="11"/>
        <name val="Bold"/>
        <scheme val="none"/>
      </font>
      <alignment horizontal="general" vertical="center" textRotation="0" wrapText="1" indent="0" justifyLastLine="0" shrinkToFit="0" readingOrder="0"/>
    </dxf>
    <dxf>
      <font>
        <strike val="0"/>
        <outline val="0"/>
        <shadow val="0"/>
        <u val="none"/>
        <vertAlign val="baseline"/>
        <sz val="11"/>
        <name val="Bold"/>
        <scheme val="none"/>
      </font>
      <numFmt numFmtId="13" formatCode="0%"/>
      <alignment horizontal="general" vertical="center" textRotation="0" wrapText="1" indent="0" justifyLastLine="0" shrinkToFit="0" readingOrder="0"/>
    </dxf>
    <dxf>
      <font>
        <strike val="0"/>
        <outline val="0"/>
        <shadow val="0"/>
        <u val="none"/>
        <vertAlign val="baseline"/>
        <sz val="11"/>
        <name val="Bold"/>
        <scheme val="none"/>
      </font>
      <alignment horizontal="general" vertical="center" textRotation="0" wrapText="1" indent="0" justifyLastLine="0" shrinkToFit="0" readingOrder="0"/>
    </dxf>
    <dxf>
      <font>
        <strike val="0"/>
        <outline val="0"/>
        <shadow val="0"/>
        <u val="none"/>
        <vertAlign val="baseline"/>
        <sz val="11"/>
        <name val="Bold"/>
        <scheme val="none"/>
      </font>
    </dxf>
    <dxf>
      <font>
        <b/>
        <i val="0"/>
        <strike val="0"/>
        <condense val="0"/>
        <extend val="0"/>
        <outline val="0"/>
        <shadow val="0"/>
        <u val="none"/>
        <vertAlign val="baseline"/>
        <sz val="11"/>
        <color theme="1"/>
        <name val="Bold"/>
        <scheme val="none"/>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Ratios!$B$79</c:f>
              <c:strCache>
                <c:ptCount val="1"/>
                <c:pt idx="0">
                  <c:v>Company</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Ratios!$C$78:$G$78</c:f>
              <c:strCache>
                <c:ptCount val="5"/>
                <c:pt idx="0">
                  <c:v>2020</c:v>
                </c:pt>
                <c:pt idx="1">
                  <c:v>2021</c:v>
                </c:pt>
                <c:pt idx="2">
                  <c:v>2022</c:v>
                </c:pt>
                <c:pt idx="3">
                  <c:v>2023</c:v>
                </c:pt>
                <c:pt idx="4">
                  <c:v>2024</c:v>
                </c:pt>
              </c:strCache>
            </c:strRef>
          </c:cat>
          <c:val>
            <c:numRef>
              <c:f>Ratios!$C$79:$G$79</c:f>
              <c:numCache>
                <c:formatCode>General</c:formatCode>
                <c:ptCount val="5"/>
                <c:pt idx="0">
                  <c:v>0.41899222273054049</c:v>
                </c:pt>
                <c:pt idx="1">
                  <c:v>0.46001906375767848</c:v>
                </c:pt>
                <c:pt idx="2">
                  <c:v>0.44655304222691911</c:v>
                </c:pt>
                <c:pt idx="3">
                  <c:v>0.44605147820543467</c:v>
                </c:pt>
                <c:pt idx="4">
                  <c:v>0.45705967976710332</c:v>
                </c:pt>
              </c:numCache>
            </c:numRef>
          </c:val>
          <c:smooth val="0"/>
          <c:extLst>
            <c:ext xmlns:c16="http://schemas.microsoft.com/office/drawing/2014/chart" uri="{C3380CC4-5D6E-409C-BE32-E72D297353CC}">
              <c16:uniqueId val="{00000000-E119-4F7F-AFE1-1AD511C1EA83}"/>
            </c:ext>
          </c:extLst>
        </c:ser>
        <c:ser>
          <c:idx val="1"/>
          <c:order val="1"/>
          <c:tx>
            <c:strRef>
              <c:f>Ratios!$B$80</c:f>
              <c:strCache>
                <c:ptCount val="1"/>
                <c:pt idx="0">
                  <c:v>Industry</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Ratios!$C$78:$G$78</c:f>
              <c:strCache>
                <c:ptCount val="5"/>
                <c:pt idx="0">
                  <c:v>2020</c:v>
                </c:pt>
                <c:pt idx="1">
                  <c:v>2021</c:v>
                </c:pt>
                <c:pt idx="2">
                  <c:v>2022</c:v>
                </c:pt>
                <c:pt idx="3">
                  <c:v>2023</c:v>
                </c:pt>
                <c:pt idx="4">
                  <c:v>2024</c:v>
                </c:pt>
              </c:strCache>
            </c:strRef>
          </c:cat>
          <c:val>
            <c:numRef>
              <c:f>Ratios!$C$80:$G$80</c:f>
              <c:numCache>
                <c:formatCode>General</c:formatCode>
                <c:ptCount val="5"/>
                <c:pt idx="0">
                  <c:v>0.25146247449172399</c:v>
                </c:pt>
                <c:pt idx="1">
                  <c:v>0.29643085472607456</c:v>
                </c:pt>
                <c:pt idx="2">
                  <c:v>0.31707915528437997</c:v>
                </c:pt>
                <c:pt idx="3">
                  <c:v>0.3224201245817141</c:v>
                </c:pt>
                <c:pt idx="4">
                  <c:v>0.34237248500220357</c:v>
                </c:pt>
              </c:numCache>
            </c:numRef>
          </c:val>
          <c:smooth val="0"/>
          <c:extLst>
            <c:ext xmlns:c16="http://schemas.microsoft.com/office/drawing/2014/chart" uri="{C3380CC4-5D6E-409C-BE32-E72D297353CC}">
              <c16:uniqueId val="{00000001-E119-4F7F-AFE1-1AD511C1EA83}"/>
            </c:ext>
          </c:extLst>
        </c:ser>
        <c:dLbls>
          <c:showLegendKey val="0"/>
          <c:showVal val="0"/>
          <c:showCatName val="0"/>
          <c:showSerName val="0"/>
          <c:showPercent val="0"/>
          <c:showBubbleSize val="0"/>
        </c:dLbls>
        <c:marker val="1"/>
        <c:smooth val="0"/>
        <c:axId val="104500608"/>
        <c:axId val="104514688"/>
      </c:lineChart>
      <c:catAx>
        <c:axId val="104500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Bold"/>
                <a:ea typeface="+mn-ea"/>
                <a:cs typeface="+mn-cs"/>
              </a:defRPr>
            </a:pPr>
            <a:endParaRPr lang="en-US"/>
          </a:p>
        </c:txPr>
        <c:crossAx val="104514688"/>
        <c:crosses val="autoZero"/>
        <c:auto val="1"/>
        <c:lblAlgn val="ctr"/>
        <c:lblOffset val="100"/>
        <c:noMultiLvlLbl val="0"/>
      </c:catAx>
      <c:valAx>
        <c:axId val="104514688"/>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old"/>
                <a:ea typeface="+mn-ea"/>
                <a:cs typeface="+mn-cs"/>
              </a:defRPr>
            </a:pPr>
            <a:endParaRPr lang="en-US"/>
          </a:p>
        </c:txPr>
        <c:crossAx val="104500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Bold"/>
              <a:ea typeface="+mn-ea"/>
              <a:cs typeface="+mn-cs"/>
            </a:defRPr>
          </a:pPr>
          <a:endParaRPr lang="en-US"/>
        </a:p>
      </c:txPr>
    </c:legend>
    <c:plotVisOnly val="1"/>
    <c:dispBlanksAs val="gap"/>
    <c:showDLblsOverMax val="0"/>
    <c:extLst>
      <c:ext uri="{0b15fc19-7d7d-44ad-8c2d-2c3a37ce22c3}">
        <chartProps xmlns="https://web.wps.cn/et/2018/main" chartId="{046df087-707b-49be-aff4-c3f64a0832c0}"/>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96166155284685"/>
          <c:y val="6.4396765150308649E-2"/>
          <c:w val="0.62905030621172353"/>
          <c:h val="0.83540172061825602"/>
        </c:manualLayout>
      </c:layout>
      <c:lineChart>
        <c:grouping val="standard"/>
        <c:varyColors val="0"/>
        <c:ser>
          <c:idx val="2"/>
          <c:order val="0"/>
          <c:tx>
            <c:strRef>
              <c:f>Ratios!$B$78</c:f>
              <c:strCache>
                <c:ptCount val="1"/>
                <c:pt idx="0">
                  <c:v>PAT / Sales</c:v>
                </c:pt>
              </c:strCache>
            </c:strRef>
          </c:tx>
          <c:spPr>
            <a:ln w="22225" cap="rnd">
              <a:solidFill>
                <a:schemeClr val="accent3"/>
              </a:solidFill>
              <a:round/>
            </a:ln>
            <a:effectLst/>
          </c:spPr>
          <c:marker>
            <c:symbol val="triangle"/>
            <c:size val="6"/>
            <c:spPr>
              <a:solidFill>
                <a:schemeClr val="accent3"/>
              </a:solidFill>
              <a:ln w="9525">
                <a:solidFill>
                  <a:schemeClr val="accent3"/>
                </a:solidFill>
                <a:round/>
              </a:ln>
              <a:effectLst/>
            </c:spPr>
          </c:marker>
          <c:cat>
            <c:strRef>
              <c:f>Ratios!$C$78:$G$78</c:f>
              <c:strCache>
                <c:ptCount val="5"/>
                <c:pt idx="0">
                  <c:v>2020</c:v>
                </c:pt>
                <c:pt idx="1">
                  <c:v>2021</c:v>
                </c:pt>
                <c:pt idx="2">
                  <c:v>2022</c:v>
                </c:pt>
                <c:pt idx="3">
                  <c:v>2023</c:v>
                </c:pt>
                <c:pt idx="4">
                  <c:v>2024</c:v>
                </c:pt>
              </c:strCache>
            </c:strRef>
          </c:cat>
          <c:val>
            <c:numRef>
              <c:f>Ratios!$C$78:$G$78</c:f>
              <c:numCache>
                <c:formatCode>General</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0-2F03-4D3A-8182-1F3F124296C1}"/>
            </c:ext>
          </c:extLst>
        </c:ser>
        <c:ser>
          <c:idx val="1"/>
          <c:order val="1"/>
          <c:tx>
            <c:strRef>
              <c:f>Ratios!$B$80</c:f>
              <c:strCache>
                <c:ptCount val="1"/>
                <c:pt idx="0">
                  <c:v>Industry</c:v>
                </c:pt>
              </c:strCache>
            </c:strRef>
          </c:tx>
          <c:spPr>
            <a:ln w="22225" cap="rnd">
              <a:solidFill>
                <a:schemeClr val="accent2"/>
              </a:solidFill>
              <a:round/>
            </a:ln>
            <a:effectLst/>
          </c:spPr>
          <c:marker>
            <c:symbol val="diamond"/>
            <c:size val="6"/>
            <c:spPr>
              <a:solidFill>
                <a:schemeClr val="accent2"/>
              </a:solidFill>
              <a:ln w="9525">
                <a:solidFill>
                  <a:schemeClr val="accent2"/>
                </a:solidFill>
                <a:round/>
              </a:ln>
              <a:effectLst/>
            </c:spPr>
          </c:marker>
          <c:cat>
            <c:strRef>
              <c:f>Ratios!$C$78:$G$78</c:f>
              <c:strCache>
                <c:ptCount val="5"/>
                <c:pt idx="0">
                  <c:v>2020</c:v>
                </c:pt>
                <c:pt idx="1">
                  <c:v>2021</c:v>
                </c:pt>
                <c:pt idx="2">
                  <c:v>2022</c:v>
                </c:pt>
                <c:pt idx="3">
                  <c:v>2023</c:v>
                </c:pt>
                <c:pt idx="4">
                  <c:v>2024</c:v>
                </c:pt>
              </c:strCache>
            </c:strRef>
          </c:cat>
          <c:val>
            <c:numRef>
              <c:f>Ratios!$C$80:$G$80</c:f>
              <c:numCache>
                <c:formatCode>General</c:formatCode>
                <c:ptCount val="5"/>
                <c:pt idx="0">
                  <c:v>0.25146247449172399</c:v>
                </c:pt>
                <c:pt idx="1">
                  <c:v>0.29643085472607456</c:v>
                </c:pt>
                <c:pt idx="2">
                  <c:v>0.31707915528437997</c:v>
                </c:pt>
                <c:pt idx="3">
                  <c:v>0.3224201245817141</c:v>
                </c:pt>
                <c:pt idx="4">
                  <c:v>0.34237248500220357</c:v>
                </c:pt>
              </c:numCache>
            </c:numRef>
          </c:val>
          <c:smooth val="0"/>
          <c:extLst>
            <c:ext xmlns:c16="http://schemas.microsoft.com/office/drawing/2014/chart" uri="{C3380CC4-5D6E-409C-BE32-E72D297353CC}">
              <c16:uniqueId val="{00000018-2F03-4D3A-8182-1F3F124296C1}"/>
            </c:ext>
          </c:extLst>
        </c:ser>
        <c:ser>
          <c:idx val="0"/>
          <c:order val="2"/>
          <c:tx>
            <c:strRef>
              <c:f>Ratios!$B$79</c:f>
              <c:strCache>
                <c:ptCount val="1"/>
                <c:pt idx="0">
                  <c:v>Company</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val>
            <c:numLit>
              <c:formatCode>General</c:formatCode>
              <c:ptCount val="1"/>
              <c:pt idx="0">
                <c:v>0</c:v>
              </c:pt>
            </c:numLit>
          </c:val>
          <c:smooth val="0"/>
          <c:extLst>
            <c:ext xmlns:c16="http://schemas.microsoft.com/office/drawing/2014/chart" uri="{C3380CC4-5D6E-409C-BE32-E72D297353CC}">
              <c16:uniqueId val="{00000019-2F03-4D3A-8182-1F3F124296C1}"/>
            </c:ext>
          </c:extLst>
        </c:ser>
        <c:dLbls>
          <c:showLegendKey val="0"/>
          <c:showVal val="0"/>
          <c:showCatName val="0"/>
          <c:showSerName val="0"/>
          <c:showPercent val="0"/>
          <c:showBubbleSize val="0"/>
        </c:dLbls>
        <c:marker val="1"/>
        <c:smooth val="0"/>
        <c:axId val="104168064"/>
        <c:axId val="104173952"/>
      </c:lineChart>
      <c:catAx>
        <c:axId val="104168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Bold"/>
                <a:ea typeface="+mn-ea"/>
                <a:cs typeface="+mn-cs"/>
              </a:defRPr>
            </a:pPr>
            <a:endParaRPr lang="en-US"/>
          </a:p>
        </c:txPr>
        <c:crossAx val="104173952"/>
        <c:crosses val="autoZero"/>
        <c:auto val="1"/>
        <c:lblAlgn val="ctr"/>
        <c:lblOffset val="100"/>
        <c:noMultiLvlLbl val="0"/>
      </c:catAx>
      <c:valAx>
        <c:axId val="104173952"/>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old"/>
                <a:ea typeface="+mn-ea"/>
                <a:cs typeface="+mn-cs"/>
              </a:defRPr>
            </a:pPr>
            <a:endParaRPr lang="en-US"/>
          </a:p>
        </c:txPr>
        <c:crossAx val="104168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Bold"/>
              <a:ea typeface="+mn-ea"/>
              <a:cs typeface="+mn-cs"/>
            </a:defRPr>
          </a:pPr>
          <a:endParaRPr lang="en-US"/>
        </a:p>
      </c:txPr>
    </c:legend>
    <c:plotVisOnly val="1"/>
    <c:dispBlanksAs val="gap"/>
    <c:showDLblsOverMax val="0"/>
    <c:extLst>
      <c:ext uri="{0b15fc19-7d7d-44ad-8c2d-2c3a37ce22c3}">
        <chartProps xmlns="https://web.wps.cn/et/2018/main" chartId="{a480642a-57ec-49a5-8c12-344048a8d22a}"/>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hyperlink" Target="#Summary!A1"/></Relationships>
</file>

<file path=xl/drawings/_rels/drawing2.xml.rels><?xml version="1.0" encoding="UTF-8" standalone="yes"?>
<Relationships xmlns="http://schemas.openxmlformats.org/package/2006/relationships"><Relationship Id="rId1" Type="http://schemas.openxmlformats.org/officeDocument/2006/relationships/hyperlink" Target="#Summary!A1"/></Relationships>
</file>

<file path=xl/drawings/_rels/drawing3.xml.rels><?xml version="1.0" encoding="UTF-8" standalone="yes"?>
<Relationships xmlns="http://schemas.openxmlformats.org/package/2006/relationships"><Relationship Id="rId1" Type="http://schemas.openxmlformats.org/officeDocument/2006/relationships/hyperlink" Target="#Summary!A1"/></Relationships>
</file>

<file path=xl/drawings/_rels/drawing4.xml.rels><?xml version="1.0" encoding="UTF-8" standalone="yes"?>
<Relationships xmlns="http://schemas.openxmlformats.org/package/2006/relationships"><Relationship Id="rId1" Type="http://schemas.openxmlformats.org/officeDocument/2006/relationships/hyperlink" Target="#Summary!A1"/></Relationships>
</file>

<file path=xl/drawings/_rels/drawing5.xml.rels><?xml version="1.0" encoding="UTF-8" standalone="yes"?>
<Relationships xmlns="http://schemas.openxmlformats.org/package/2006/relationships"><Relationship Id="rId1" Type="http://schemas.openxmlformats.org/officeDocument/2006/relationships/hyperlink" Target="#Summary!A1"/></Relationships>
</file>

<file path=xl/drawings/_rels/drawing6.xml.rels><?xml version="1.0" encoding="UTF-8" standalone="yes"?>
<Relationships xmlns="http://schemas.openxmlformats.org/package/2006/relationships"><Relationship Id="rId1" Type="http://schemas.openxmlformats.org/officeDocument/2006/relationships/hyperlink" Target="#Summary!A1"/></Relationships>
</file>

<file path=xl/drawings/_rels/drawing7.xml.rels><?xml version="1.0" encoding="UTF-8" standalone="yes"?>
<Relationships xmlns="http://schemas.openxmlformats.org/package/2006/relationships"><Relationship Id="rId1" Type="http://schemas.openxmlformats.org/officeDocument/2006/relationships/hyperlink" Target="#Summary!A1"/></Relationships>
</file>

<file path=xl/drawings/_rels/drawing8.xml.rels><?xml version="1.0" encoding="UTF-8" standalone="yes"?>
<Relationships xmlns="http://schemas.openxmlformats.org/package/2006/relationships"><Relationship Id="rId1" Type="http://schemas.openxmlformats.org/officeDocument/2006/relationships/hyperlink" Target="#Summary!A1"/></Relationships>
</file>

<file path=xl/drawings/_rels/drawing9.xml.rels><?xml version="1.0" encoding="UTF-8" standalone="yes"?>
<Relationships xmlns="http://schemas.openxmlformats.org/package/2006/relationships"><Relationship Id="rId1" Type="http://schemas.openxmlformats.org/officeDocument/2006/relationships/hyperlink" Target="#Summary!A1"/></Relationships>
</file>

<file path=xl/drawings/_rels/drawing10.xml.rels><?xml version="1.0" encoding="UTF-8" standalone="yes"?>
<Relationships xmlns="http://schemas.openxmlformats.org/package/2006/relationships"><Relationship Id="rId1" Type="http://schemas.openxmlformats.org/officeDocument/2006/relationships/hyperlink" Target="#Summary!A1"/></Relationships>
</file>

<file path=xl/drawings/_rels/drawing11.xml.rels><?xml version="1.0" encoding="UTF-8" standalone="yes"?>
<Relationships xmlns="http://schemas.openxmlformats.org/package/2006/relationships"><Relationship Id="rId1" Type="http://schemas.openxmlformats.org/officeDocument/2006/relationships/hyperlink" Target="#Summary!A1"/></Relationships>
</file>

<file path=xl/drawings/_rels/drawing12.xml.rels><?xml version="1.0" encoding="UTF-8" standalone="yes"?>
<Relationships xmlns="http://schemas.openxmlformats.org/package/2006/relationships"><Relationship Id="rId1" Type="http://schemas.openxmlformats.org/officeDocument/2006/relationships/hyperlink" Target="#Summary!A1"/></Relationships>
</file>

<file path=xl/drawings/_rels/drawing13.xml.rels><?xml version="1.0" encoding="UTF-8" standalone="yes"?>
<Relationships xmlns="http://schemas.openxmlformats.org/package/2006/relationships"><Relationship Id="rId1" Type="http://schemas.openxmlformats.org/officeDocument/2006/relationships/hyperlink" Target="#Summary!A1"/></Relationships>
</file>

<file path=xl/drawings/_rels/drawing14.xml.rels><?xml version="1.0" encoding="UTF-8" standalone="yes"?>
<Relationships xmlns="http://schemas.openxmlformats.org/package/2006/relationships"><Relationship Id="rId1" Type="http://schemas.openxmlformats.org/officeDocument/2006/relationships/hyperlink" Target="#Summary!A1"/></Relationships>
</file>

<file path=xl/drawings/_rels/drawing15.xml.rels><?xml version="1.0" encoding="UTF-8" standalone="yes"?>
<Relationships xmlns="http://schemas.openxmlformats.org/package/2006/relationships"><Relationship Id="rId1" Type="http://schemas.openxmlformats.org/officeDocument/2006/relationships/hyperlink" Target="#Summary!A1"/></Relationships>
</file>

<file path=xl/drawings/_rels/drawing16.xml.rels><?xml version="1.0" encoding="UTF-8" standalone="yes"?>
<Relationships xmlns="http://schemas.openxmlformats.org/package/2006/relationships"><Relationship Id="rId1" Type="http://schemas.openxmlformats.org/officeDocument/2006/relationships/hyperlink" Target="#Summary!A1"/></Relationships>
</file>

<file path=xl/drawings/_rels/drawing17.xml.rels><?xml version="1.0" encoding="UTF-8" standalone="yes"?>
<Relationships xmlns="http://schemas.openxmlformats.org/package/2006/relationships"><Relationship Id="rId1" Type="http://schemas.openxmlformats.org/officeDocument/2006/relationships/hyperlink" Target="#Summary!A1"/></Relationships>
</file>

<file path=xl/drawings/_rels/drawing18.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hyperlink" Target="#Summary!A1"/></Relationships>
</file>

<file path=xl/drawings/_rels/drawing19.xml.rels><?xml version="1.0" encoding="UTF-8" standalone="yes"?>
<Relationships xmlns="http://schemas.openxmlformats.org/package/2006/relationships"><Relationship Id="rId1" Type="http://schemas.openxmlformats.org/officeDocument/2006/relationships/hyperlink" Target="#Summary!A1"/></Relationships>
</file>

<file path=xl/drawings/drawing1.xml><?xml version="1.0" encoding="utf-8"?>
<xdr:wsDr xmlns:xdr="http://schemas.openxmlformats.org/drawingml/2006/spreadsheetDrawing" xmlns:a="http://schemas.openxmlformats.org/drawingml/2006/main">
  <xdr:twoCellAnchor>
    <xdr:from>
      <xdr:col>6</xdr:col>
      <xdr:colOff>0</xdr:colOff>
      <xdr:row>0</xdr:row>
      <xdr:rowOff>0</xdr:rowOff>
    </xdr:from>
    <xdr:to>
      <xdr:col>7</xdr:col>
      <xdr:colOff>428625</xdr:colOff>
      <xdr:row>0</xdr:row>
      <xdr:rowOff>214312</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1EB66F54-A8A3-41A5-B6D1-EAEF990F7D43}"/>
            </a:ext>
          </a:extLst>
        </xdr:cNvPr>
        <xdr:cNvSpPr/>
      </xdr:nvSpPr>
      <xdr:spPr>
        <a:xfrm>
          <a:off x="8953500" y="0"/>
          <a:ext cx="1035844" cy="21431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t>HOME</a:t>
          </a:r>
        </a:p>
      </xdr:txBody>
    </xdr:sp>
    <xdr:clientData/>
  </xdr:twoCellAnchor>
  <xdr:twoCellAnchor>
    <xdr:from>
      <xdr:col>1</xdr:col>
      <xdr:colOff>0</xdr:colOff>
      <xdr:row>0</xdr:row>
      <xdr:rowOff>0</xdr:rowOff>
    </xdr:from>
    <xdr:to>
      <xdr:col>2</xdr:col>
      <xdr:colOff>0</xdr:colOff>
      <xdr:row>0</xdr:row>
      <xdr:rowOff>218722</xdr:rowOff>
    </xdr:to>
    <xdr:sp macro="" textlink="">
      <xdr:nvSpPr>
        <xdr:cNvPr id="4" name="Rectangle 3">
          <a:hlinkClick xmlns:r="http://schemas.openxmlformats.org/officeDocument/2006/relationships" r:id="rId1"/>
          <a:extLst>
            <a:ext uri="{FF2B5EF4-FFF2-40B4-BE49-F238E27FC236}">
              <a16:creationId xmlns:a16="http://schemas.microsoft.com/office/drawing/2014/main" id="{DBE9D6F2-6EC4-4979-A506-53EC0FDF7EFF}"/>
            </a:ext>
          </a:extLst>
        </xdr:cNvPr>
        <xdr:cNvSpPr/>
      </xdr:nvSpPr>
      <xdr:spPr>
        <a:xfrm>
          <a:off x="2645833" y="0"/>
          <a:ext cx="973667" cy="21872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t>HOME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1386284</xdr:colOff>
      <xdr:row>1</xdr:row>
      <xdr:rowOff>27874</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6AC7E28A-5F74-4EC4-AEE4-C1670A84560E}"/>
            </a:ext>
          </a:extLst>
        </xdr:cNvPr>
        <xdr:cNvSpPr/>
      </xdr:nvSpPr>
      <xdr:spPr>
        <a:xfrm>
          <a:off x="2950882" y="0"/>
          <a:ext cx="1386284" cy="20716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t>HOME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xdr:colOff>
      <xdr:row>0</xdr:row>
      <xdr:rowOff>0</xdr:rowOff>
    </xdr:from>
    <xdr:to>
      <xdr:col>2</xdr:col>
      <xdr:colOff>889001</xdr:colOff>
      <xdr:row>1</xdr:row>
      <xdr:rowOff>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D3EFFF7D-4308-428F-964E-2D000846E5B0}"/>
            </a:ext>
          </a:extLst>
        </xdr:cNvPr>
        <xdr:cNvSpPr/>
      </xdr:nvSpPr>
      <xdr:spPr>
        <a:xfrm>
          <a:off x="1714501" y="0"/>
          <a:ext cx="889000" cy="1778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t>HOME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0</xdr:colOff>
      <xdr:row>0</xdr:row>
      <xdr:rowOff>0</xdr:rowOff>
    </xdr:from>
    <xdr:to>
      <xdr:col>12</xdr:col>
      <xdr:colOff>419100</xdr:colOff>
      <xdr:row>0</xdr:row>
      <xdr:rowOff>180975</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E7FE488B-B84F-471F-B993-3605A4DFB611}"/>
            </a:ext>
          </a:extLst>
        </xdr:cNvPr>
        <xdr:cNvSpPr/>
      </xdr:nvSpPr>
      <xdr:spPr>
        <a:xfrm>
          <a:off x="12753975" y="0"/>
          <a:ext cx="1028700" cy="1809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t>HOME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11</xdr:col>
      <xdr:colOff>26192</xdr:colOff>
      <xdr:row>0</xdr:row>
      <xdr:rowOff>0</xdr:rowOff>
    </xdr:from>
    <xdr:to>
      <xdr:col>12</xdr:col>
      <xdr:colOff>602455</xdr:colOff>
      <xdr:row>1</xdr:row>
      <xdr:rowOff>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EE291C3B-0D28-496D-A19A-7C161AC853A5}"/>
            </a:ext>
          </a:extLst>
        </xdr:cNvPr>
        <xdr:cNvSpPr/>
      </xdr:nvSpPr>
      <xdr:spPr>
        <a:xfrm>
          <a:off x="11968161" y="0"/>
          <a:ext cx="1183482" cy="1905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t>HOME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11</xdr:col>
      <xdr:colOff>0</xdr:colOff>
      <xdr:row>0</xdr:row>
      <xdr:rowOff>0</xdr:rowOff>
    </xdr:from>
    <xdr:to>
      <xdr:col>12</xdr:col>
      <xdr:colOff>370417</xdr:colOff>
      <xdr:row>0</xdr:row>
      <xdr:rowOff>190500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E90D6332-E376-4121-887B-7C992C8EF4DC}"/>
            </a:ext>
          </a:extLst>
        </xdr:cNvPr>
        <xdr:cNvSpPr/>
      </xdr:nvSpPr>
      <xdr:spPr>
        <a:xfrm>
          <a:off x="16023167" y="0"/>
          <a:ext cx="984250" cy="1905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t>HOME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11</xdr:col>
      <xdr:colOff>16668</xdr:colOff>
      <xdr:row>0</xdr:row>
      <xdr:rowOff>0</xdr:rowOff>
    </xdr:from>
    <xdr:to>
      <xdr:col>12</xdr:col>
      <xdr:colOff>676274</xdr:colOff>
      <xdr:row>0</xdr:row>
      <xdr:rowOff>171450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3315231A-1DA8-42CC-B9F5-502CBECCA4DC}"/>
            </a:ext>
          </a:extLst>
        </xdr:cNvPr>
        <xdr:cNvSpPr/>
      </xdr:nvSpPr>
      <xdr:spPr>
        <a:xfrm>
          <a:off x="14447043" y="0"/>
          <a:ext cx="1266825" cy="1714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t>HOME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22224</xdr:colOff>
      <xdr:row>0</xdr:row>
      <xdr:rowOff>0</xdr:rowOff>
    </xdr:from>
    <xdr:to>
      <xdr:col>7</xdr:col>
      <xdr:colOff>625474</xdr:colOff>
      <xdr:row>1</xdr:row>
      <xdr:rowOff>9525</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B7476855-EBC7-4274-9BE3-0C1BB96A44C6}"/>
            </a:ext>
          </a:extLst>
        </xdr:cNvPr>
        <xdr:cNvSpPr/>
      </xdr:nvSpPr>
      <xdr:spPr>
        <a:xfrm>
          <a:off x="9274174" y="0"/>
          <a:ext cx="1263650" cy="1873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t>HOME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0</xdr:row>
      <xdr:rowOff>0</xdr:rowOff>
    </xdr:from>
    <xdr:to>
      <xdr:col>7</xdr:col>
      <xdr:colOff>533400</xdr:colOff>
      <xdr:row>0</xdr:row>
      <xdr:rowOff>180975</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664730A3-A90A-427B-B5E2-4FA643613E13}"/>
            </a:ext>
          </a:extLst>
        </xdr:cNvPr>
        <xdr:cNvSpPr/>
      </xdr:nvSpPr>
      <xdr:spPr>
        <a:xfrm>
          <a:off x="8439150" y="0"/>
          <a:ext cx="1143000" cy="1809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t>HOME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0</xdr:row>
      <xdr:rowOff>0</xdr:rowOff>
    </xdr:from>
    <xdr:to>
      <xdr:col>7</xdr:col>
      <xdr:colOff>497416</xdr:colOff>
      <xdr:row>1</xdr:row>
      <xdr:rowOff>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82BA3523-9B19-4400-8961-01922ECA7916}"/>
            </a:ext>
          </a:extLst>
        </xdr:cNvPr>
        <xdr:cNvSpPr/>
      </xdr:nvSpPr>
      <xdr:spPr>
        <a:xfrm>
          <a:off x="10456333" y="0"/>
          <a:ext cx="1111250" cy="1905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t>HOME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0</xdr:row>
      <xdr:rowOff>0</xdr:rowOff>
    </xdr:from>
    <xdr:to>
      <xdr:col>7</xdr:col>
      <xdr:colOff>600075</xdr:colOff>
      <xdr:row>1</xdr:row>
      <xdr:rowOff>19050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37FBE3FF-3B7C-4DEA-8FEB-F2470F4D7399}"/>
            </a:ext>
          </a:extLst>
        </xdr:cNvPr>
        <xdr:cNvSpPr/>
      </xdr:nvSpPr>
      <xdr:spPr>
        <a:xfrm>
          <a:off x="10858500" y="0"/>
          <a:ext cx="1209675" cy="2095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t>HOME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7</xdr:col>
      <xdr:colOff>295275</xdr:colOff>
      <xdr:row>0</xdr:row>
      <xdr:rowOff>0</xdr:rowOff>
    </xdr:from>
    <xdr:to>
      <xdr:col>9</xdr:col>
      <xdr:colOff>133351</xdr:colOff>
      <xdr:row>1</xdr:row>
      <xdr:rowOff>9525</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652A07FA-4F92-41B1-AF8D-C81598087481}"/>
            </a:ext>
          </a:extLst>
        </xdr:cNvPr>
        <xdr:cNvSpPr/>
      </xdr:nvSpPr>
      <xdr:spPr>
        <a:xfrm>
          <a:off x="7543800" y="0"/>
          <a:ext cx="1057276" cy="161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t>HOME</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7</xdr:col>
      <xdr:colOff>0</xdr:colOff>
      <xdr:row>6</xdr:row>
      <xdr:rowOff>0</xdr:rowOff>
    </xdr:from>
    <xdr:to>
      <xdr:col>8</xdr:col>
      <xdr:colOff>304800</xdr:colOff>
      <xdr:row>7</xdr:row>
      <xdr:rowOff>28575</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D1629FC8-D013-4CC6-96DF-6490BFCFFDA8}"/>
            </a:ext>
          </a:extLst>
        </xdr:cNvPr>
        <xdr:cNvSpPr/>
      </xdr:nvSpPr>
      <xdr:spPr>
        <a:xfrm>
          <a:off x="10429875" y="1143000"/>
          <a:ext cx="1009650" cy="2190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t>HOME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1038412</xdr:colOff>
      <xdr:row>0</xdr:row>
      <xdr:rowOff>171824</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F1D44DB3-C85F-429A-A824-425386CE7322}"/>
            </a:ext>
          </a:extLst>
        </xdr:cNvPr>
        <xdr:cNvSpPr/>
      </xdr:nvSpPr>
      <xdr:spPr>
        <a:xfrm>
          <a:off x="2950882" y="0"/>
          <a:ext cx="1038412" cy="1718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t>HOME</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2</xdr:col>
      <xdr:colOff>27782</xdr:colOff>
      <xdr:row>0</xdr:row>
      <xdr:rowOff>11906</xdr:rowOff>
    </xdr:from>
    <xdr:to>
      <xdr:col>2</xdr:col>
      <xdr:colOff>1146968</xdr:colOff>
      <xdr:row>0</xdr:row>
      <xdr:rowOff>154780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8875105C-35C8-43CE-AC64-AC0B6E5DE39D}"/>
            </a:ext>
          </a:extLst>
        </xdr:cNvPr>
        <xdr:cNvSpPr/>
      </xdr:nvSpPr>
      <xdr:spPr>
        <a:xfrm>
          <a:off x="4742657" y="11906"/>
          <a:ext cx="1119186" cy="1428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t>HOME</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0</xdr:row>
      <xdr:rowOff>0</xdr:rowOff>
    </xdr:from>
    <xdr:to>
      <xdr:col>7</xdr:col>
      <xdr:colOff>390525</xdr:colOff>
      <xdr:row>0</xdr:row>
      <xdr:rowOff>161925</xdr:rowOff>
    </xdr:to>
    <xdr:sp macro="" textlink="">
      <xdr:nvSpPr>
        <xdr:cNvPr id="6" name="Rectangle 5">
          <a:hlinkClick xmlns:r="http://schemas.openxmlformats.org/officeDocument/2006/relationships" r:id="rId1"/>
          <a:extLst>
            <a:ext uri="{FF2B5EF4-FFF2-40B4-BE49-F238E27FC236}">
              <a16:creationId xmlns:a16="http://schemas.microsoft.com/office/drawing/2014/main" id="{0F21EDA3-21A0-4E2A-A1A5-905972E57A4A}"/>
            </a:ext>
          </a:extLst>
        </xdr:cNvPr>
        <xdr:cNvSpPr/>
      </xdr:nvSpPr>
      <xdr:spPr>
        <a:xfrm>
          <a:off x="7867650" y="0"/>
          <a:ext cx="1000125" cy="161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t>HOME</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7</xdr:col>
      <xdr:colOff>119063</xdr:colOff>
      <xdr:row>0</xdr:row>
      <xdr:rowOff>11907</xdr:rowOff>
    </xdr:from>
    <xdr:to>
      <xdr:col>7</xdr:col>
      <xdr:colOff>1297781</xdr:colOff>
      <xdr:row>1</xdr:row>
      <xdr:rowOff>83344</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A378F7CA-3014-459F-87CD-F9D47C3F8592}"/>
            </a:ext>
          </a:extLst>
        </xdr:cNvPr>
        <xdr:cNvSpPr/>
      </xdr:nvSpPr>
      <xdr:spPr>
        <a:xfrm>
          <a:off x="10167938" y="11907"/>
          <a:ext cx="1178718" cy="27384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t>HOME</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17198</xdr:colOff>
      <xdr:row>0</xdr:row>
      <xdr:rowOff>0</xdr:rowOff>
    </xdr:from>
    <xdr:to>
      <xdr:col>1</xdr:col>
      <xdr:colOff>1016001</xdr:colOff>
      <xdr:row>0</xdr:row>
      <xdr:rowOff>166687</xdr:rowOff>
    </xdr:to>
    <xdr:sp macro="" textlink="">
      <xdr:nvSpPr>
        <xdr:cNvPr id="6" name="Rectangle 5">
          <a:hlinkClick xmlns:r="http://schemas.openxmlformats.org/officeDocument/2006/relationships" r:id="rId1"/>
          <a:extLst>
            <a:ext uri="{FF2B5EF4-FFF2-40B4-BE49-F238E27FC236}">
              <a16:creationId xmlns:a16="http://schemas.microsoft.com/office/drawing/2014/main" id="{D0157415-BF7A-43A0-9770-6B76D0F7A1E8}"/>
            </a:ext>
          </a:extLst>
        </xdr:cNvPr>
        <xdr:cNvSpPr/>
      </xdr:nvSpPr>
      <xdr:spPr>
        <a:xfrm>
          <a:off x="3684323" y="0"/>
          <a:ext cx="998803" cy="16668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latin typeface="Bold"/>
            </a:rPr>
            <a:t>HOME</a:t>
          </a:r>
        </a:p>
      </xdr:txBody>
    </xdr:sp>
    <xdr:clientData/>
  </xdr:twoCellAnchor>
  <xdr:twoCellAnchor>
    <xdr:from>
      <xdr:col>2</xdr:col>
      <xdr:colOff>47625</xdr:colOff>
      <xdr:row>80</xdr:row>
      <xdr:rowOff>0</xdr:rowOff>
    </xdr:from>
    <xdr:to>
      <xdr:col>7</xdr:col>
      <xdr:colOff>202973</xdr:colOff>
      <xdr:row>95</xdr:row>
      <xdr:rowOff>113960</xdr:rowOff>
    </xdr:to>
    <xdr:graphicFrame macro="">
      <xdr:nvGraphicFramePr>
        <xdr:cNvPr id="19" name="Chart 18">
          <a:extLst>
            <a:ext uri="{FF2B5EF4-FFF2-40B4-BE49-F238E27FC236}">
              <a16:creationId xmlns:a16="http://schemas.microsoft.com/office/drawing/2014/main" id="{5344B32E-63FA-44F0-B926-1D8915CF01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80</xdr:row>
      <xdr:rowOff>0</xdr:rowOff>
    </xdr:from>
    <xdr:to>
      <xdr:col>2</xdr:col>
      <xdr:colOff>0</xdr:colOff>
      <xdr:row>95</xdr:row>
      <xdr:rowOff>98993</xdr:rowOff>
    </xdr:to>
    <xdr:graphicFrame macro="">
      <xdr:nvGraphicFramePr>
        <xdr:cNvPr id="27" name="Chart 26">
          <a:extLst>
            <a:ext uri="{FF2B5EF4-FFF2-40B4-BE49-F238E27FC236}">
              <a16:creationId xmlns:a16="http://schemas.microsoft.com/office/drawing/2014/main" id="{925BDF8A-E22D-4C8E-83B0-0621D06043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11</xdr:col>
      <xdr:colOff>301218</xdr:colOff>
      <xdr:row>0</xdr:row>
      <xdr:rowOff>8142</xdr:rowOff>
    </xdr:from>
    <xdr:to>
      <xdr:col>13</xdr:col>
      <xdr:colOff>203526</xdr:colOff>
      <xdr:row>0</xdr:row>
      <xdr:rowOff>293077</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554BD351-B4CE-4A09-A5F9-E66799FDEB90}"/>
            </a:ext>
          </a:extLst>
        </xdr:cNvPr>
        <xdr:cNvSpPr/>
      </xdr:nvSpPr>
      <xdr:spPr>
        <a:xfrm>
          <a:off x="7554872" y="8142"/>
          <a:ext cx="1221154" cy="28493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latin typeface="Bold"/>
            </a:rPr>
            <a:t>HOME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C7A1B07-ED28-4C17-BB8A-34C322C56273}" name="Table7" displayName="Table7" ref="D2:F5" totalsRowShown="0" headerRowDxfId="414" dataDxfId="413">
  <autoFilter ref="D2:F5" xr:uid="{8C7A1B07-ED28-4C17-BB8A-34C322C56273}"/>
  <tableColumns count="3">
    <tableColumn id="1" xr3:uid="{25141421-1E73-4DC6-8371-E79939105D2E}" name="Assumption" dataDxfId="412"/>
    <tableColumn id="2" xr3:uid="{F9A36F97-F397-43F9-AE80-DED21B257589}" name="Value" dataDxfId="411"/>
    <tableColumn id="3" xr3:uid="{BBCC0267-2DFC-4E46-9FE5-1DA5564DDA6B}" name="Basis" dataDxfId="410"/>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BF12FF71-1661-4852-84CF-1F49C72E144F}" name="Table44" displayName="Table44" ref="A24:B33" totalsRowShown="0" headerRowDxfId="409">
  <autoFilter ref="A24:B33" xr:uid="{BF12FF71-1661-4852-84CF-1F49C72E144F}"/>
  <tableColumns count="2">
    <tableColumn id="1" xr3:uid="{DE452C5A-9908-4A87-9A96-1829CD1E8E98}" name="Assumption"/>
    <tableColumn id="2" xr3:uid="{A1359034-7A56-4A08-A16D-45245298AAFB}" name="Value" dataDxfId="408"/>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7BE49324-5162-4218-AE2A-4B199968C177}" name="Table41" displayName="Table41" ref="A35:B41" totalsRowShown="0">
  <autoFilter ref="A35:B41" xr:uid="{7BE49324-5162-4218-AE2A-4B199968C177}"/>
  <tableColumns count="2">
    <tableColumn id="1" xr3:uid="{8E43B026-B11D-4667-A926-85107F1CF469}" name="Working Capital Assumption"/>
    <tableColumn id="2" xr3:uid="{DBF3FA79-3BB9-481F-95B3-9581C15F2840}" name="Value" dataDxfId="407"/>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24664AE2-85C6-4E4D-AC8D-E042C0868486}" name="Table46" displayName="Table46" ref="A1:B34" totalsRowShown="0">
  <autoFilter ref="A1:B34" xr:uid="{24664AE2-85C6-4E4D-AC8D-E042C0868486}"/>
  <tableColumns count="2">
    <tableColumn id="1" xr3:uid="{A3C76ABC-FBBF-4893-B27B-B01520AC8B6D}" name="WACC Calculation"/>
    <tableColumn id="2" xr3:uid="{0456E42E-6D58-45CB-A578-3192B03234CA}" name="Column1"/>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7A4F98C-5CFC-47C9-BE1B-5361D10867DC}" name="Table51" displayName="Table51" ref="A3:L7" totalsRowShown="0" headerRowDxfId="406" dataDxfId="405">
  <autoFilter ref="A3:L7" xr:uid="{07A4F98C-5CFC-47C9-BE1B-5361D10867DC}"/>
  <tableColumns count="12">
    <tableColumn id="1" xr3:uid="{815593E5-00FA-4BDE-BEF3-27D6BC4F9BF9}" name="Item" dataDxfId="404"/>
    <tableColumn id="2" xr3:uid="{5C64E556-403E-4C24-AE42-01083230C7C1}" name="2020" dataDxfId="403">
      <calculatedColumnFormula>Table1[[#This Row],[2020]]</calculatedColumnFormula>
    </tableColumn>
    <tableColumn id="3" xr3:uid="{F8F897A0-1900-46A9-A404-3A45760A8160}" name="2021" dataDxfId="402">
      <calculatedColumnFormula>Table1[[#This Row],[2021]]</calculatedColumnFormula>
    </tableColumn>
    <tableColumn id="4" xr3:uid="{8A91F75A-F5EC-42A9-BC9B-0B0C1FC59875}" name="2022" dataDxfId="401">
      <calculatedColumnFormula>Table1[[#This Row],[2022]]</calculatedColumnFormula>
    </tableColumn>
    <tableColumn id="5" xr3:uid="{8FB8F155-E89F-43AF-A3A4-67BD4DBD648F}" name="2023" dataDxfId="400">
      <calculatedColumnFormula>Table1[[#This Row],[2023]]</calculatedColumnFormula>
    </tableColumn>
    <tableColumn id="6" xr3:uid="{BE24DF86-6CC8-40DE-8D34-7A509D8F506A}" name="2024" dataDxfId="399">
      <calculatedColumnFormula>Table1[[#This Row],[2024]]</calculatedColumnFormula>
    </tableColumn>
    <tableColumn id="7" xr3:uid="{1B0E7506-D33E-4128-A557-06772E6A95F1}" name="CAGR" dataDxfId="398">
      <calculatedColumnFormula>(Table51[[#This Row],[2024]] / Table51[[#This Row],[2020]])^(1/4)-1</calculatedColumnFormula>
    </tableColumn>
    <tableColumn id="8" xr3:uid="{CBBB7DA0-015B-4436-B8C9-5D65F2991D6E}" name="2025" dataDxfId="397">
      <calculatedColumnFormula>F4*(1+$G4)</calculatedColumnFormula>
    </tableColumn>
    <tableColumn id="9" xr3:uid="{0205DC35-86EA-4921-8EE3-BB2FD3E6F938}" name="2026" dataDxfId="396">
      <calculatedColumnFormula>Table51[[#This Row],[2025]]*(1+Table51[[#This Row],[CAGR]])</calculatedColumnFormula>
    </tableColumn>
    <tableColumn id="10" xr3:uid="{71328988-BFF8-4F7F-8AC8-2617A85AA305}" name="2027" dataDxfId="395">
      <calculatedColumnFormula>Table51[[#This Row],[2026]]*(1+Table51[[#This Row],[CAGR]])</calculatedColumnFormula>
    </tableColumn>
    <tableColumn id="11" xr3:uid="{B53084F1-54D6-4DE5-86F9-F87379294324}" name="2028" dataDxfId="394">
      <calculatedColumnFormula>Table51[[#This Row],[2027]]*(1+Table51[[#This Row],[CAGR]])</calculatedColumnFormula>
    </tableColumn>
    <tableColumn id="12" xr3:uid="{5A5AAD6E-3739-4881-9729-7732F00D58CF}" name="2029" dataDxfId="393">
      <calculatedColumnFormula>Table51[[#This Row],[2028]]*(1+Table51[[#This Row],[CAGR]])</calculatedColumnFormula>
    </tableColumn>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1431DD4-7BE9-4678-972A-C5488C8A0D26}" name="Table52" displayName="Table52" ref="A10:L14" totalsRowShown="0" headerRowDxfId="392" dataDxfId="391">
  <autoFilter ref="A10:L14" xr:uid="{01431DD4-7BE9-4678-972A-C5488C8A0D26}"/>
  <tableColumns count="12">
    <tableColumn id="1" xr3:uid="{03A36B1A-F514-4313-95E4-848E38B6EAA2}" name="Item" dataDxfId="390"/>
    <tableColumn id="2" xr3:uid="{C50CFEC2-E20B-4E21-B70E-7839A1216B91}" name="2020" dataDxfId="389">
      <calculatedColumnFormula>Balance_Sheet!B18</calculatedColumnFormula>
    </tableColumn>
    <tableColumn id="3" xr3:uid="{0510E6C7-E311-4EC3-B141-89F0F353BFF0}" name="2021" dataDxfId="388">
      <calculatedColumnFormula>Balance_Sheet!C18</calculatedColumnFormula>
    </tableColumn>
    <tableColumn id="4" xr3:uid="{6FBCA45D-738A-48DA-A410-ECEFF2E7E9FF}" name="2022" dataDxfId="387">
      <calculatedColumnFormula>Balance_Sheet!D18</calculatedColumnFormula>
    </tableColumn>
    <tableColumn id="5" xr3:uid="{CBC4040F-B050-4339-9CA5-0B5A8D62E0D4}" name="2023" dataDxfId="386">
      <calculatedColumnFormula>Balance_Sheet!E18</calculatedColumnFormula>
    </tableColumn>
    <tableColumn id="6" xr3:uid="{DB805C63-1B93-41D2-BCAF-4EACD4C0D16C}" name="2024" dataDxfId="385">
      <calculatedColumnFormula>Balance_Sheet!F18</calculatedColumnFormula>
    </tableColumn>
    <tableColumn id="7" xr3:uid="{5F7DC08B-6430-4910-A6FD-3917474B0C38}" name="CAGR" dataDxfId="384">
      <calculatedColumnFormula>(Table52[[#This Row],[2024]] / Table52[[#This Row],[2020]])^(1/4)-1</calculatedColumnFormula>
    </tableColumn>
    <tableColumn id="8" xr3:uid="{E97E4D1B-0461-4AFE-ABCA-B9A6AD8128E8}" name="2025" dataDxfId="383">
      <calculatedColumnFormula>F11*(1+$G11)</calculatedColumnFormula>
    </tableColumn>
    <tableColumn id="9" xr3:uid="{9A3D7FE2-7684-4D41-B9FA-254D5D7DF2C6}" name="2026" dataDxfId="382">
      <calculatedColumnFormula>Table52[[#This Row],[2025]]*(1+Table52[[#This Row],[CAGR]])</calculatedColumnFormula>
    </tableColumn>
    <tableColumn id="10" xr3:uid="{00D8C39A-8FCD-4A54-95A6-23D66A375A86}" name="2027" dataDxfId="381">
      <calculatedColumnFormula>Table52[[#This Row],[2026]]*(1+Table52[[#This Row],[CAGR]])</calculatedColumnFormula>
    </tableColumn>
    <tableColumn id="11" xr3:uid="{D7928141-3573-4C11-970D-95E76A55CD88}" name="2028" dataDxfId="380">
      <calculatedColumnFormula>Table52[[#This Row],[2027]]*(1+Table52[[#This Row],[CAGR]])</calculatedColumnFormula>
    </tableColumn>
    <tableColumn id="12" xr3:uid="{B1D754A4-60CE-48BD-B7E4-9CF6608F3B26}" name="2029" dataDxfId="379">
      <calculatedColumnFormula>Table52[[#This Row],[2028]]*(1+Table52[[#This Row],[CAGR]])</calculatedColumnFormula>
    </tableColumn>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4BB5D24E-2660-4F0F-9358-B0798AC438BD}" name="Table53" displayName="Table53" ref="A17:L21" totalsRowShown="0" headerRowDxfId="378" dataDxfId="377">
  <autoFilter ref="A17:L21" xr:uid="{4BB5D24E-2660-4F0F-9358-B0798AC438BD}"/>
  <tableColumns count="12">
    <tableColumn id="1" xr3:uid="{A48A9510-9F29-425D-BE0E-32E94FDC8E9D}" name="Item" dataDxfId="376"/>
    <tableColumn id="2" xr3:uid="{094D009E-288A-4510-9E27-8A34BAA31500}" name="2020" dataDxfId="375">
      <calculatedColumnFormula>'Cash Flow'!B24</calculatedColumnFormula>
    </tableColumn>
    <tableColumn id="3" xr3:uid="{3ACBE982-89DA-4DC4-BA56-08F7C81AC69B}" name="2021" dataDxfId="374">
      <calculatedColumnFormula>'Cash Flow'!C24</calculatedColumnFormula>
    </tableColumn>
    <tableColumn id="4" xr3:uid="{B43FC191-F675-4941-A445-71FB54505004}" name="2022" dataDxfId="373">
      <calculatedColumnFormula>'Cash Flow'!D24</calculatedColumnFormula>
    </tableColumn>
    <tableColumn id="5" xr3:uid="{81472EE2-26C8-4C36-8D0E-9B1FD851FAD0}" name="2023" dataDxfId="372">
      <calculatedColumnFormula>'Cash Flow'!E24</calculatedColumnFormula>
    </tableColumn>
    <tableColumn id="6" xr3:uid="{A9791B09-B2AE-4CF1-8D8B-EB8CA612D835}" name="2024" dataDxfId="371">
      <calculatedColumnFormula>'Cash Flow'!F24</calculatedColumnFormula>
    </tableColumn>
    <tableColumn id="7" xr3:uid="{B52BBE04-0C2B-46DF-A26F-E68D564CFBC9}" name="CAGR" dataDxfId="370">
      <calculatedColumnFormula>(Table53[[#This Row],[2024]] / Table53[[#This Row],[2020]])^(1/4)-1</calculatedColumnFormula>
    </tableColumn>
    <tableColumn id="8" xr3:uid="{40E95E30-9D74-49DA-83CE-E591D113C6DB}" name="2025" dataDxfId="369">
      <calculatedColumnFormula>AVERAGE(Table53[[#This Row],[2020]:[2024]])</calculatedColumnFormula>
    </tableColumn>
    <tableColumn id="9" xr3:uid="{9F0ECB5A-3F7D-4FE3-99C7-036B7391367E}" name="2026" dataDxfId="368">
      <calculatedColumnFormula>AVERAGE(Table53[[#This Row],[2020]:[2024]])</calculatedColumnFormula>
    </tableColumn>
    <tableColumn id="10" xr3:uid="{FB31BE10-459C-4F09-B8EB-713AA9B24868}" name="2027" dataDxfId="367">
      <calculatedColumnFormula>AVERAGE(Table53[[#This Row],[2020]:[2024]])</calculatedColumnFormula>
    </tableColumn>
    <tableColumn id="11" xr3:uid="{8E7CB832-B675-49D1-9873-A04E7799FE8D}" name="2028" dataDxfId="366">
      <calculatedColumnFormula>AVERAGE(Table53[[#This Row],[2020]:[2024]])</calculatedColumnFormula>
    </tableColumn>
    <tableColumn id="12" xr3:uid="{B51154CF-DE53-47A7-80FF-DE3B02409A81}" name="2029" dataDxfId="365">
      <calculatedColumnFormula>AVERAGE(Table53[[#This Row],[2020]:[2024]])</calculatedColumnFormula>
    </tableColumn>
  </tableColumns>
  <tableStyleInfo name="TableStyleMedium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F013D5-AC5A-414F-A2CD-BED06FB8D2B7}" name="Table1" displayName="Table1" ref="A1:K27" totalsRowShown="0" headerRowDxfId="364" dataDxfId="363">
  <autoFilter ref="A1:K27" xr:uid="{E7F013D5-AC5A-414F-A2CD-BED06FB8D2B7}"/>
  <tableColumns count="11">
    <tableColumn id="1" xr3:uid="{B8648140-46C3-4B43-AA07-602DB3D95CA7}" name="Consolidated Statement of Operations - USD ($) shares in Millions, $ in Millions" dataDxfId="362"/>
    <tableColumn id="2" xr3:uid="{5FD270C4-4A9F-4D6B-B976-3F3B009CF8C0}" name="2020" dataDxfId="361"/>
    <tableColumn id="3" xr3:uid="{AAD1EEE1-148D-468C-9176-4850751521FE}" name="2021" dataDxfId="360"/>
    <tableColumn id="4" xr3:uid="{191E7171-4B67-4DCB-8969-6EB234878A88}" name="2022" dataDxfId="359"/>
    <tableColumn id="5" xr3:uid="{4DC1262E-F9A9-4492-924F-71B9BF675FF0}" name="2023" dataDxfId="358"/>
    <tableColumn id="6" xr3:uid="{402FAD7C-133B-4584-85FC-8E0CC2FF20FC}" name="2024" dataDxfId="357"/>
    <tableColumn id="7" xr3:uid="{FE88BD74-D144-4C06-AE1E-44615ACA1124}" name="2025E" dataDxfId="356"/>
    <tableColumn id="8" xr3:uid="{8C4FB25A-2AD3-4B84-8602-CE2080E8C8A5}" name="2026E" dataDxfId="355">
      <calculatedColumnFormula>Table1[[#This Row],[2025E]]*(1+Assumptions!B13)</calculatedColumnFormula>
    </tableColumn>
    <tableColumn id="9" xr3:uid="{B58F5D21-263F-4255-B903-DA2220F8813E}" name="2027E" dataDxfId="354">
      <calculatedColumnFormula>Table1[[#This Row],[2026E]]*(1+#REF!)</calculatedColumnFormula>
    </tableColumn>
    <tableColumn id="10" xr3:uid="{2A63A4CA-D632-4CE8-9048-C2B24A769160}" name="2028E" dataDxfId="353">
      <calculatedColumnFormula>Table1[[#This Row],[2027E]]*(1+Assumptions!B15)</calculatedColumnFormula>
    </tableColumn>
    <tableColumn id="11" xr3:uid="{758DA4B0-F8D0-4FAF-B7B0-C8EA9CC5F7DB}" name="2029E" dataDxfId="352">
      <calculatedColumnFormula>Table1[[#This Row],[2028E]]*(1+Assumptions!B16)</calculatedColumnFormula>
    </tableColumn>
  </tableColumns>
  <tableStyleInfo name="TableStyleMedium10"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B92FEF-C569-446D-BB4C-5C29430B35E9}" name="Table2" displayName="Table2" ref="A1:K48" totalsRowShown="0" headerRowDxfId="351" dataDxfId="350">
  <autoFilter ref="A1:K48" xr:uid="{58B92FEF-C569-446D-BB4C-5C29430B35E9}"/>
  <tableColumns count="11">
    <tableColumn id="1" xr3:uid="{2BD84981-526C-4E5B-8B6B-E1C00E0E2A38}" name="Consolidated Balance Sheet - USD ($) $ in Millions" dataDxfId="349"/>
    <tableColumn id="2" xr3:uid="{958E82AE-4D8E-4776-A030-7D4D0B2CB906}" name="2020" dataDxfId="348"/>
    <tableColumn id="3" xr3:uid="{2FD8A038-5348-44CF-8C4A-86DC080CB1BC}" name="2021" dataDxfId="347"/>
    <tableColumn id="4" xr3:uid="{C2E18BF5-1C29-4040-92FC-CB052177F247}" name="2022" dataDxfId="346"/>
    <tableColumn id="5" xr3:uid="{C54EB9E4-0033-4FF2-99E8-2ECE61A67E16}" name="2023" dataDxfId="345"/>
    <tableColumn id="6" xr3:uid="{1B7AD503-6A23-428A-853E-5497336BF57B}" name="2024" dataDxfId="344"/>
    <tableColumn id="7" xr3:uid="{D9890049-4E4B-4906-B27D-6FB81F5E97BF}" name="2025E" dataDxfId="343">
      <calculatedColumnFormula>(F30+F40-F17)</calculatedColumnFormula>
    </tableColumn>
    <tableColumn id="8" xr3:uid="{EC98D38C-023E-443C-B9DE-B110AC55949C}" name="2026E" dataDxfId="342"/>
    <tableColumn id="9" xr3:uid="{D58C423F-92C6-41E5-90D7-A6CFA1CC8B30}" name="2027E" dataDxfId="341"/>
    <tableColumn id="10" xr3:uid="{6E9FE85A-C1C6-4175-A646-097C3E55280D}" name="2028E" dataDxfId="340"/>
    <tableColumn id="11" xr3:uid="{056F59F4-5AF3-4F75-94E4-07077D729FC8}" name="2029E" dataDxfId="339"/>
  </tableColumns>
  <tableStyleInfo name="TableStyleMedium10"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4DA566-EAE7-4E9E-87E6-535717BC16E0}" name="Table3" displayName="Table3" ref="A1:K55" totalsRowShown="0" headerRowDxfId="338" dataDxfId="337">
  <autoFilter ref="A1:K55" xr:uid="{EA4DA566-EAE7-4E9E-87E6-535717BC16E0}"/>
  <tableColumns count="11">
    <tableColumn id="1" xr3:uid="{41F9A7FF-4CC5-4DA5-BE67-531366BA906C}" name="Consolidated Statement of Cash Flows - USD ($) $ in Millions" dataDxfId="336"/>
    <tableColumn id="2" xr3:uid="{D867A8F2-2B77-4ADB-8D32-2714B4D56E87}" name="2020" dataDxfId="335"/>
    <tableColumn id="3" xr3:uid="{4515121F-1532-42DD-87BB-D3D0D580FD9B}" name="2021" dataDxfId="334"/>
    <tableColumn id="4" xr3:uid="{334380A8-44CC-443A-A92B-1A334643E0F8}" name="2022" dataDxfId="333"/>
    <tableColumn id="5" xr3:uid="{D3F468B1-6A02-44BD-9BC4-2E4D3126E67B}" name="2023" dataDxfId="332"/>
    <tableColumn id="6" xr3:uid="{0BB6072E-29F5-4559-B075-26F725F01F62}" name="2024" dataDxfId="331"/>
    <tableColumn id="7" xr3:uid="{F6C1BD66-96F1-426D-B894-A0202B958CAB}" name="2025E" dataDxfId="330">
      <calculatedColumnFormula>'Profit Loss'!G18</calculatedColumnFormula>
    </tableColumn>
    <tableColumn id="8" xr3:uid="{B428DF78-DFCC-464D-9B1F-79409FFD9992}" name="2026E" dataDxfId="329">
      <calculatedColumnFormula>'Profit Loss'!H18</calculatedColumnFormula>
    </tableColumn>
    <tableColumn id="9" xr3:uid="{95BA2971-C587-4D5D-9591-97956EBD361C}" name="2027E" dataDxfId="328">
      <calculatedColumnFormula>'Profit Loss'!I18</calculatedColumnFormula>
    </tableColumn>
    <tableColumn id="10" xr3:uid="{CB426D8C-1490-4FAE-BD97-08B961627DBB}" name="2028E" dataDxfId="327">
      <calculatedColumnFormula>'Profit Loss'!J18</calculatedColumnFormula>
    </tableColumn>
    <tableColumn id="11" xr3:uid="{2B2AD554-B87F-41BC-A3BF-06ACEA1D8AEC}" name="2029E" dataDxfId="326">
      <calculatedColumnFormula>'Profit Loss'!K18</calculatedColumnFormula>
    </tableColumn>
  </tableColumns>
  <tableStyleInfo name="TableStyleMedium10"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DA85155-623D-478D-8DA5-A4EBC5B45433}" name="Table10" displayName="Table10" ref="A1:K16" totalsRowShown="0" headerRowDxfId="325" dataDxfId="324">
  <autoFilter ref="A1:K16" xr:uid="{8DA85155-623D-478D-8DA5-A4EBC5B45433}"/>
  <tableColumns count="11">
    <tableColumn id="1" xr3:uid="{12C7A057-1E82-4750-94D9-E8899FF7DF12}" name="Common Size Income Statement – Mastercard" dataDxfId="323"/>
    <tableColumn id="2" xr3:uid="{6D814337-D765-4C75-8FEF-2A65AA5C67C0}" name="2020" dataDxfId="322"/>
    <tableColumn id="3" xr3:uid="{4FD0E15A-ED2A-429F-87C2-EE785E799B4D}" name="2021" dataDxfId="321"/>
    <tableColumn id="4" xr3:uid="{1F0EAA14-BAF5-441F-965A-5BEAD12C0E63}" name="2022" dataDxfId="320"/>
    <tableColumn id="5" xr3:uid="{1E8D502B-47FE-445F-9880-356D8132BE20}" name="2023" dataDxfId="319"/>
    <tableColumn id="6" xr3:uid="{9B101C60-3AC2-424C-BC00-2A45DA55775C}" name="2024" dataDxfId="318"/>
    <tableColumn id="7" xr3:uid="{FBD9C962-95D4-45FB-817D-676FCCFF9AD3}" name="2025" dataDxfId="317"/>
    <tableColumn id="8" xr3:uid="{21377E22-6C9B-4062-B180-24AE28BDA217}" name="2026" dataDxfId="316"/>
    <tableColumn id="9" xr3:uid="{B4EE6A98-FE74-4562-B796-83FD3AB54C40}" name="2027" dataDxfId="315"/>
    <tableColumn id="10" xr3:uid="{2C2C81F9-8CE3-4CC7-A0FA-A3700D72AAEC}" name="2028" dataDxfId="314"/>
    <tableColumn id="11" xr3:uid="{C643607E-134E-464D-A92B-B06B7FD04F3A}" name="2029" dataDxfId="313"/>
  </tableColumns>
  <tableStyleInfo name="TableStyleMedium10"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2141224-86C1-4F01-A226-A618DB8D5516}" name="Table11" displayName="Table11" ref="A18:K37" totalsRowShown="0" headerRowDxfId="312" dataDxfId="311">
  <autoFilter ref="A18:K37" xr:uid="{E2141224-86C1-4F01-A226-A618DB8D5516}"/>
  <tableColumns count="11">
    <tableColumn id="1" xr3:uid="{5A57010E-35D6-4B0E-A53A-61D1E52B8758}" name="Common Size Balance Sheet – Mastercard" dataDxfId="310"/>
    <tableColumn id="2" xr3:uid="{5F908747-5833-40B5-B8A2-4A72CF8E6579}" name="2020" dataDxfId="309"/>
    <tableColumn id="3" xr3:uid="{A2781A3B-DCF1-4C40-BE7F-73654B104B4D}" name="2021" dataDxfId="308"/>
    <tableColumn id="4" xr3:uid="{4BB6BE20-15D8-43B6-9788-E958A91E8143}" name="2022" dataDxfId="307"/>
    <tableColumn id="5" xr3:uid="{834C04F5-14BA-4431-827C-C514CFF0D923}" name="2023" dataDxfId="306"/>
    <tableColumn id="6" xr3:uid="{0BC6D767-5BEA-41D9-A36E-EDA9CBFBB30E}" name="2024" dataDxfId="305"/>
    <tableColumn id="7" xr3:uid="{92D646DB-66DF-4D90-AAC2-20271B43742F}" name="2025" dataDxfId="304"/>
    <tableColumn id="8" xr3:uid="{568AA878-A5ED-45FC-8490-43D91A1514A3}" name="2026" dataDxfId="303"/>
    <tableColumn id="9" xr3:uid="{B668CBA8-8253-4156-B393-DE0002FD89AF}" name="2027" dataDxfId="302"/>
    <tableColumn id="10" xr3:uid="{6AFF9FE8-C70E-426D-950B-388DBCC99ED9}" name="2028" dataDxfId="301"/>
    <tableColumn id="11" xr3:uid="{941A6CCA-0849-49AB-B31F-554B8E996A42}" name="2029" dataDxfId="300"/>
  </tableColumns>
  <tableStyleInfo name="TableStyleMedium10"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77C2120-222B-4597-B6D0-08631A41424B}" name="Table12" displayName="Table12" ref="A39:K40" totalsRowShown="0" headerRowDxfId="299" dataDxfId="298">
  <autoFilter ref="A39:K40" xr:uid="{577C2120-222B-4597-B6D0-08631A41424B}"/>
  <tableColumns count="11">
    <tableColumn id="1" xr3:uid="{F6E89BDB-09DF-4A2F-ADDC-767B3CA3EFF5}" name="Asset Turnover Ratio" dataDxfId="297"/>
    <tableColumn id="2" xr3:uid="{3B21753F-3B1B-4DE3-9310-C1131D3CBE64}" name="2020" dataDxfId="296">
      <calculatedColumnFormula>'Profit Loss'!B4/Balance_Sheet!B18</calculatedColumnFormula>
    </tableColumn>
    <tableColumn id="3" xr3:uid="{D4CB54AF-5F3B-411E-B730-2AAC7D015607}" name="2021" dataDxfId="295">
      <calculatedColumnFormula>'Profit Loss'!C4/Balance_Sheet!C18</calculatedColumnFormula>
    </tableColumn>
    <tableColumn id="4" xr3:uid="{DF62CF42-2763-4C29-BD0A-C79B1C97A3C6}" name="2022" dataDxfId="294">
      <calculatedColumnFormula>'Profit Loss'!D4/Balance_Sheet!D18</calculatedColumnFormula>
    </tableColumn>
    <tableColumn id="5" xr3:uid="{E054E0C1-1E54-4853-9F39-EBBF58524AF9}" name="2023" dataDxfId="293">
      <calculatedColumnFormula>'Profit Loss'!E4/Balance_Sheet!E18</calculatedColumnFormula>
    </tableColumn>
    <tableColumn id="6" xr3:uid="{033E00D4-DEAB-4767-9040-866418D7446F}" name="2024" dataDxfId="292">
      <calculatedColumnFormula>'Profit Loss'!F4/Balance_Sheet!F18</calculatedColumnFormula>
    </tableColumn>
    <tableColumn id="7" xr3:uid="{59D109BB-D33C-4486-9D16-3B77CA3429ED}" name="2025E" dataDxfId="291">
      <calculatedColumnFormula>'Profit Loss'!G4/Balance_Sheet!G18</calculatedColumnFormula>
    </tableColumn>
    <tableColumn id="8" xr3:uid="{CA857349-64DE-427E-BB08-CD202F86829E}" name="2026E" dataDxfId="290">
      <calculatedColumnFormula>'Profit Loss'!H4/Balance_Sheet!H18</calculatedColumnFormula>
    </tableColumn>
    <tableColumn id="9" xr3:uid="{5607283B-CF00-4C36-BC7A-F17399E07189}" name="2027E" dataDxfId="289">
      <calculatedColumnFormula>'Profit Loss'!I4/Balance_Sheet!I18</calculatedColumnFormula>
    </tableColumn>
    <tableColumn id="10" xr3:uid="{B8B969A6-C925-4DDB-9519-6344DEE6AA3F}" name="2028E" dataDxfId="288">
      <calculatedColumnFormula>'Profit Loss'!J4/Balance_Sheet!J18</calculatedColumnFormula>
    </tableColumn>
    <tableColumn id="11" xr3:uid="{DF6DDC6C-698F-4A56-AE2B-98F8B0AA4CDC}" name="2029E" dataDxfId="287">
      <calculatedColumnFormula>'Profit Loss'!K4/Balance_Sheet!K18</calculatedColumnFormula>
    </tableColumn>
  </tableColumns>
  <tableStyleInfo name="TableStyleMedium10"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E1584E-1752-4868-BDA2-E568FA587FC9}" name="Table4" displayName="Table4" ref="A42:K45" totalsRowShown="0" headerRowDxfId="286" dataDxfId="285">
  <autoFilter ref="A42:K45" xr:uid="{AEE1584E-1752-4868-BDA2-E568FA587FC9}"/>
  <tableColumns count="11">
    <tableColumn id="1" xr3:uid="{06D3B7A1-9AE4-4C5E-97DA-E5EE9EEAE6CF}" name="Debt Scheduling" dataDxfId="284"/>
    <tableColumn id="2" xr3:uid="{23706571-7C7F-4BEA-BF53-6DA9104A3D61}" name="2020" dataDxfId="283">
      <calculatedColumnFormula>Balance_Sheet!B28+Balance_Sheet!B25</calculatedColumnFormula>
    </tableColumn>
    <tableColumn id="3" xr3:uid="{393ECA8F-AC2D-466E-BF16-CC2401DEE25D}" name="2021" dataDxfId="282">
      <calculatedColumnFormula>Balance_Sheet!C28+Balance_Sheet!C25</calculatedColumnFormula>
    </tableColumn>
    <tableColumn id="4" xr3:uid="{0F7FEEE2-BC2B-405E-AF30-507B9AA1B5C1}" name="2022" dataDxfId="281">
      <calculatedColumnFormula>Balance_Sheet!D28+Balance_Sheet!D25</calculatedColumnFormula>
    </tableColumn>
    <tableColumn id="5" xr3:uid="{03E32DD8-B916-4A2F-B739-B6D6775580C7}" name="2023" dataDxfId="280">
      <calculatedColumnFormula>Balance_Sheet!E28+Balance_Sheet!E25</calculatedColumnFormula>
    </tableColumn>
    <tableColumn id="6" xr3:uid="{239A102A-EE7A-4624-B210-0074B2BC7340}" name="2024" dataDxfId="279">
      <calculatedColumnFormula>Balance_Sheet!F28+Balance_Sheet!F25</calculatedColumnFormula>
    </tableColumn>
    <tableColumn id="7" xr3:uid="{7EFAA294-EE86-4D23-BB44-0D97C4B45DFC}" name="2025E" dataDxfId="278">
      <calculatedColumnFormula>Balance_Sheet!G28+Balance_Sheet!G25</calculatedColumnFormula>
    </tableColumn>
    <tableColumn id="8" xr3:uid="{31D8765C-8D8E-4543-A450-1AEEB86DDBD2}" name="2026E" dataDxfId="277">
      <calculatedColumnFormula>Balance_Sheet!H28+Balance_Sheet!H25</calculatedColumnFormula>
    </tableColumn>
    <tableColumn id="9" xr3:uid="{BEFD2965-6D73-4C3E-9E26-773CD242A08C}" name="2027E" dataDxfId="276">
      <calculatedColumnFormula>Balance_Sheet!I28+Balance_Sheet!I25</calculatedColumnFormula>
    </tableColumn>
    <tableColumn id="10" xr3:uid="{3AB1CA41-874B-43D0-A775-92120E1F388E}" name="2028E" dataDxfId="275">
      <calculatedColumnFormula>Balance_Sheet!J28+Balance_Sheet!J25</calculatedColumnFormula>
    </tableColumn>
    <tableColumn id="11" xr3:uid="{84D017A0-9E0F-4311-9986-BA82927DEE46}" name="2029E" dataDxfId="274">
      <calculatedColumnFormula>Balance_Sheet!K28+Balance_Sheet!K25</calculatedColumnFormula>
    </tableColumn>
  </tableColumns>
  <tableStyleInfo name="TableStyleMedium10"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4CBEBE8-095B-4FA4-8F76-D034EC21F372}" name="Table9" displayName="Table9" ref="A47:K50" totalsRowShown="0" headerRowDxfId="273" dataDxfId="272">
  <autoFilter ref="A47:K50" xr:uid="{B4CBEBE8-095B-4FA4-8F76-D034EC21F372}"/>
  <tableColumns count="11">
    <tableColumn id="1" xr3:uid="{D7605603-D836-4BE4-A3C8-AEF7FDFE7C9F}" name="Depreciation, Interest, and Tax Schedule" dataDxfId="271"/>
    <tableColumn id="2" xr3:uid="{EBF0A80B-4447-48F8-9D23-6DC738C211DE}" name="2020" dataDxfId="270">
      <calculatedColumnFormula>'Profit Loss'!B8/'Profit Loss'!B4</calculatedColumnFormula>
    </tableColumn>
    <tableColumn id="3" xr3:uid="{F8B209BC-9249-405B-9DF1-94720C5A9F35}" name="2021" dataDxfId="269">
      <calculatedColumnFormula>'Profit Loss'!C8/'Profit Loss'!C4</calculatedColumnFormula>
    </tableColumn>
    <tableColumn id="4" xr3:uid="{D38C3F4C-725C-40B0-A3C8-0DE72A7CEE05}" name="2022" dataDxfId="268">
      <calculatedColumnFormula>'Profit Loss'!D8/'Profit Loss'!D4</calculatedColumnFormula>
    </tableColumn>
    <tableColumn id="5" xr3:uid="{B0CBA7A6-38CB-42B0-8DD9-88A23020A0CA}" name="2023" dataDxfId="267">
      <calculatedColumnFormula>'Profit Loss'!E8/'Profit Loss'!E4</calculatedColumnFormula>
    </tableColumn>
    <tableColumn id="6" xr3:uid="{215F522A-6550-4016-BCDE-5A40CA4D1689}" name="2024" dataDxfId="266">
      <calculatedColumnFormula>'Profit Loss'!F8/'Profit Loss'!F4</calculatedColumnFormula>
    </tableColumn>
    <tableColumn id="7" xr3:uid="{9CCF28E4-ED7F-49A6-B555-484622F4BDF2}" name="2025E" dataDxfId="265">
      <calculatedColumnFormula>'Profit Loss'!G8/'Profit Loss'!G4</calculatedColumnFormula>
    </tableColumn>
    <tableColumn id="8" xr3:uid="{FD2C8B4C-A6F0-4FC3-B99A-F0EEE7739E36}" name="2026E" dataDxfId="264">
      <calculatedColumnFormula>'Profit Loss'!H8/'Profit Loss'!H4</calculatedColumnFormula>
    </tableColumn>
    <tableColumn id="9" xr3:uid="{B6461DDD-E9F5-474E-B4ED-6813D7AFC8BC}" name="2027E" dataDxfId="263">
      <calculatedColumnFormula>'Profit Loss'!I8/'Profit Loss'!I4</calculatedColumnFormula>
    </tableColumn>
    <tableColumn id="10" xr3:uid="{F141B728-4F06-47BD-8406-46FEBB8BDB45}" name="2028E" dataDxfId="262">
      <calculatedColumnFormula>'Profit Loss'!J8/'Profit Loss'!J4</calculatedColumnFormula>
    </tableColumn>
    <tableColumn id="11" xr3:uid="{91DA3274-6B46-4B5E-AA8A-025A830325EC}" name="2029E" dataDxfId="261">
      <calculatedColumnFormula>'Profit Loss'!K8/'Profit Loss'!K4</calculatedColumnFormula>
    </tableColumn>
  </tableColumns>
  <tableStyleInfo name="TableStyleMedium10"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0B6C75C-2D93-4BC9-861E-BA1AC96C37B8}" name="Table13" displayName="Table13" ref="A52:K56" totalsRowShown="0" headerRowDxfId="260" dataDxfId="259">
  <autoFilter ref="A52:K56" xr:uid="{A0B6C75C-2D93-4BC9-861E-BA1AC96C37B8}"/>
  <tableColumns count="11">
    <tableColumn id="1" xr3:uid="{3B89A94B-5BEB-488E-B43D-D07598FF7D3B}" name="Dividend Schedule" dataDxfId="258"/>
    <tableColumn id="2" xr3:uid="{28DF116E-5369-4C3E-9471-EB99C61434BF}" name="2020" dataDxfId="257">
      <calculatedColumnFormula>'Profit Loss'!B20</calculatedColumnFormula>
    </tableColumn>
    <tableColumn id="3" xr3:uid="{7FA5F1EB-E853-41CC-B102-EB1BA3328FAB}" name="2021" dataDxfId="256">
      <calculatedColumnFormula>'Profit Loss'!C20</calculatedColumnFormula>
    </tableColumn>
    <tableColumn id="4" xr3:uid="{AB12E40E-BC09-44D0-BB0C-5FABBCBF7BB7}" name="2022" dataDxfId="255">
      <calculatedColumnFormula>'Profit Loss'!D20</calculatedColumnFormula>
    </tableColumn>
    <tableColumn id="5" xr3:uid="{92CD0057-0BED-490C-B9D5-683CD24F4378}" name="2023" dataDxfId="254">
      <calculatedColumnFormula>'Profit Loss'!E20</calculatedColumnFormula>
    </tableColumn>
    <tableColumn id="6" xr3:uid="{C8FB97CF-0605-4585-84BD-839472FB0E0B}" name="2024" dataDxfId="253">
      <calculatedColumnFormula>'Profit Loss'!F20</calculatedColumnFormula>
    </tableColumn>
    <tableColumn id="7" xr3:uid="{F84B16E1-C639-4AB8-ADB7-8973BDB7EA1E}" name="2025E" dataDxfId="252">
      <calculatedColumnFormula>'Profit Loss'!G20</calculatedColumnFormula>
    </tableColumn>
    <tableColumn id="8" xr3:uid="{73DAF3D7-7BDD-451F-8ED3-F871970B2C8E}" name="2026E" dataDxfId="251">
      <calculatedColumnFormula>'Profit Loss'!H20</calculatedColumnFormula>
    </tableColumn>
    <tableColumn id="9" xr3:uid="{E885A013-7F34-43E5-8933-57DF06A7D4C8}" name="2027E" dataDxfId="250">
      <calculatedColumnFormula>'Profit Loss'!I20</calculatedColumnFormula>
    </tableColumn>
    <tableColumn id="10" xr3:uid="{7F085ACB-997A-4E5F-97A7-1D04CD138399}" name="2028E" dataDxfId="249">
      <calculatedColumnFormula>'Profit Loss'!J20</calculatedColumnFormula>
    </tableColumn>
    <tableColumn id="11" xr3:uid="{B99E7FCF-A642-4192-9183-E73A67125472}" name="2029E" dataDxfId="248">
      <calculatedColumnFormula>'Profit Loss'!K20</calculatedColumnFormula>
    </tableColumn>
  </tableColumns>
  <tableStyleInfo name="TableStyleMedium10"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E6FD124-21D7-43DE-982E-78DA88E42DFB}" name="Table14" displayName="Table14" ref="A58:B62" totalsRowShown="0" headerRowDxfId="247" dataDxfId="246">
  <autoFilter ref="A58:B62" xr:uid="{1E6FD124-21D7-43DE-982E-78DA88E42DFB}"/>
  <tableColumns count="2">
    <tableColumn id="1" xr3:uid="{3C52B7E7-18E0-4DE5-AA2E-CCE6D75F634C}" name="Calculate Ke" dataDxfId="245"/>
    <tableColumn id="2" xr3:uid="{861DABCA-A32F-4D11-97CD-FC7335E8DD88}" name="Value" dataDxfId="244"/>
  </tableColumns>
  <tableStyleInfo name="TableStyleMedium10"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03E407A-6738-4C62-961F-3A68E7188DEA}" name="Table15" displayName="Table15" ref="A64:B70" totalsRowShown="0" headerRowDxfId="243" dataDxfId="242">
  <autoFilter ref="A64:B70" xr:uid="{503E407A-6738-4C62-961F-3A68E7188DEA}"/>
  <tableColumns count="2">
    <tableColumn id="1" xr3:uid="{F728B64E-B117-47FF-A084-C1D584DD0F20}" name="WACC Calculation" dataDxfId="241"/>
    <tableColumn id="2" xr3:uid="{33A4BC8C-BFC6-49B6-9213-BD2973F2740A}" name="Value" dataDxfId="240"/>
  </tableColumns>
  <tableStyleInfo name="TableStyleMedium10"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D65B1E9-9635-4BB5-B868-6DECDD5FCD34}" name="Table19" displayName="Table19" ref="A90:B95" totalsRowShown="0" headerRowDxfId="239" dataDxfId="238">
  <autoFilter ref="A90:B95" xr:uid="{7D65B1E9-9635-4BB5-B868-6DECDD5FCD34}"/>
  <tableColumns count="2">
    <tableColumn id="1" xr3:uid="{AE39D505-CF25-4595-B8C2-A374965C12ED}" name="Enterprise Value Calculation" dataDxfId="237"/>
    <tableColumn id="2" xr3:uid="{A3504EF5-93A5-44AF-A12C-2768B7184091}" name="Company" dataDxfId="236">
      <calculatedColumnFormula>Balance_Sheet!F2</calculatedColumnFormula>
    </tableColumn>
  </tableColumns>
  <tableStyleInfo name="TableStyleMedium10"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8DACD67D-F633-477B-BAA5-9A0A5432220E}" name="Table20" displayName="Table20" ref="A97:C102" totalsRowShown="0" headerRowDxfId="235" dataDxfId="234">
  <autoFilter ref="A97:C102" xr:uid="{8DACD67D-F633-477B-BAA5-9A0A5432220E}"/>
  <tableColumns count="3">
    <tableColumn id="1" xr3:uid="{5BE7BA4C-E106-4623-9749-823735E608E9}" name="Valuation Ratios" dataDxfId="233"/>
    <tableColumn id="2" xr3:uid="{42730CB0-1F26-4119-A54E-535BFF6857C1}" name="Formula" dataDxfId="232"/>
    <tableColumn id="3" xr3:uid="{C36D9D1B-C219-4F09-9695-DE25501F0E02}" name="Company" dataDxfId="231">
      <calculatedColumnFormula>#REF!/Balance_Sheet!F40</calculatedColumnFormula>
    </tableColumn>
  </tableColumns>
  <tableStyleInfo name="TableStyleMedium10"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35DCE4C9-8CBA-4EA7-BACE-C1A086517777}" name="Table27" displayName="Table27" ref="A72:K88" totalsRowShown="0" headerRowDxfId="230" dataDxfId="228" headerRowBorderDxfId="229" tableBorderDxfId="227" totalsRowBorderDxfId="226">
  <autoFilter ref="A72:K88" xr:uid="{35DCE4C9-8CBA-4EA7-BACE-C1A086517777}"/>
  <tableColumns count="11">
    <tableColumn id="1" xr3:uid="{1A2F8A6E-5E70-4716-8A0A-DD671BE14060}" name="FCFF / FCFE Calculation" dataDxfId="225"/>
    <tableColumn id="2" xr3:uid="{39D3915D-430A-45E9-AE07-A103547805CA}" name="2020" dataDxfId="224"/>
    <tableColumn id="3" xr3:uid="{CD0DD9EB-25C9-43CE-96B2-127A74685E51}" name="2021" dataDxfId="223"/>
    <tableColumn id="4" xr3:uid="{EE6F25E9-BBF8-4427-A37E-BC2B30602109}" name="2022" dataDxfId="222"/>
    <tableColumn id="5" xr3:uid="{8435A766-00EF-4831-89FA-A7684801050C}" name="2023" dataDxfId="221"/>
    <tableColumn id="6" xr3:uid="{7E8E4910-3EAF-48A9-B079-BD9FC5B85C76}" name="2024" dataDxfId="220"/>
    <tableColumn id="7" xr3:uid="{AAF7CB2B-331E-4427-878A-64E9377FF66D}" name="2025E" dataDxfId="219"/>
    <tableColumn id="8" xr3:uid="{13609E4B-B9F3-43AE-A8A2-3478D66C0A89}" name="2026E" dataDxfId="218"/>
    <tableColumn id="9" xr3:uid="{21797EED-8AFF-43DD-8775-B58CFBA34692}" name="2027E" dataDxfId="217"/>
    <tableColumn id="10" xr3:uid="{6A752F3F-EE17-4345-A7C7-A60D6A7C6CD3}" name="2028E" dataDxfId="216"/>
    <tableColumn id="11" xr3:uid="{5625E271-5530-4BCB-B1BB-308DC58EA9BE}" name="2029E" dataDxfId="215"/>
  </tableColumns>
  <tableStyleInfo name="TableStyleMedium10"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438EC65-C2E7-43AF-B172-03F0FE8B238F}" name="Table34" displayName="Table34" ref="F90:G93" totalsRowShown="0" headerRowDxfId="214" dataDxfId="213">
  <autoFilter ref="F90:G93" xr:uid="{D438EC65-C2E7-43AF-B172-03F0FE8B238F}"/>
  <tableColumns count="2">
    <tableColumn id="1" xr3:uid="{C7140E6C-81BE-4A82-B882-71F0A0EE16D6}" name="Input" dataDxfId="212"/>
    <tableColumn id="2" xr3:uid="{62E2E46F-A80B-4BDB-8569-A515F42AAA31}" name="Assumptions" dataDxfId="211"/>
  </tableColumns>
  <tableStyleInfo name="TableStyleMedium3"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F031BFB-CE3C-4D31-A23E-BEF20E42B81B}" name="Table35" displayName="Table35" ref="L2:Q11" totalsRowShown="0" headerRowDxfId="210" dataDxfId="209">
  <autoFilter ref="L2:Q11" xr:uid="{CF031BFB-CE3C-4D31-A23E-BEF20E42B81B}"/>
  <tableColumns count="6">
    <tableColumn id="1" xr3:uid="{5FF7A62D-A64F-4551-B474-D06DD23FC863}" name="Item" dataDxfId="208"/>
    <tableColumn id="2" xr3:uid="{C4A1D064-DF3F-42A3-B6BD-BDF39C6EBFBE}" name="2025" dataDxfId="207"/>
    <tableColumn id="3" xr3:uid="{7C927AEA-C328-4E6B-9A0B-9DF2B11CE4D9}" name="2026" dataDxfId="206"/>
    <tableColumn id="4" xr3:uid="{41AFF671-6A96-43E3-B62C-E0783001B8BC}" name="2027" dataDxfId="205"/>
    <tableColumn id="5" xr3:uid="{B24740C2-93E3-4B28-B7C3-B1DF70F65069}" name="2028" dataDxfId="204"/>
    <tableColumn id="6" xr3:uid="{96A57D49-0D41-4785-AA32-4590C00373A3}" name="2029" dataDxfId="203"/>
  </tableColumns>
  <tableStyleInfo name="TableStyleMedium3"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47685474-3FEF-4829-9209-BEAEA035090C}" name="Table38" displayName="Table38" ref="F95:G97" totalsRowShown="0" headerRowDxfId="202" dataDxfId="201">
  <autoFilter ref="F95:G97" xr:uid="{47685474-3FEF-4829-9209-BEAEA035090C}"/>
  <tableColumns count="2">
    <tableColumn id="1" xr3:uid="{BDA01FE0-EC73-406F-A0DF-7BFE40F6A615}" name="Terminal Growth Rate Used" dataDxfId="200"/>
    <tableColumn id="2" xr3:uid="{230CADC5-1899-4C0C-BA77-DF2E06301FE7}" name="3-4%" dataDxfId="199"/>
  </tableColumns>
  <tableStyleInfo name="TableStyleMedium3"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0D77E31-84E5-4F3B-B60D-18A6125649DB}" name="Table5" displayName="Table5" ref="A1:F25" totalsRowShown="0" headerRowDxfId="198" dataDxfId="197">
  <autoFilter ref="A1:F25" xr:uid="{20D77E31-84E5-4F3B-B60D-18A6125649DB}"/>
  <tableColumns count="6">
    <tableColumn id="1" xr3:uid="{C0F7C597-9EF0-4436-93F2-EE4401BDFE0A}" name="Income Statement- USD ($) shares in Millions, $ in Millions" dataDxfId="196" dataCellStyle="Note"/>
    <tableColumn id="2" xr3:uid="{B72A4870-5466-4ADA-B5E3-4EEA0376AF70}" name="2020" dataDxfId="195"/>
    <tableColumn id="3" xr3:uid="{F95F41EF-9EFA-4746-8BEB-74B8C1852F1F}" name="2021" dataDxfId="194"/>
    <tableColumn id="4" xr3:uid="{8C11C295-06E3-4950-8AC6-7B6ACAA98859}" name="2022" dataDxfId="193"/>
    <tableColumn id="5" xr3:uid="{2C4870B5-952B-4EB2-BDDC-2A96711AA5AB}" name="2023" dataDxfId="192"/>
    <tableColumn id="6" xr3:uid="{E470FD1B-338B-47D0-BF5A-20F7B589EFE0}" name="2024" dataDxfId="191"/>
  </tableColumns>
  <tableStyleInfo name="TableStyleMedium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CF1A7EE-5D28-4C1F-87A5-D7775DA43959}" name="Table6" displayName="Table6" ref="A1:F35" totalsRowShown="0" headerRowDxfId="190" dataDxfId="189">
  <autoFilter ref="A1:F35" xr:uid="{6CF1A7EE-5D28-4C1F-87A5-D7775DA43959}"/>
  <tableColumns count="6">
    <tableColumn id="1" xr3:uid="{1E046AD3-F16F-4294-B0C6-535A2A74D86C}" name="Consolidated Balance Sheet - USD ($) $ in Millions" dataDxfId="188"/>
    <tableColumn id="2" xr3:uid="{9AFF5776-7125-489B-B68A-63D0483EA75C}" name="2020" dataDxfId="187"/>
    <tableColumn id="3" xr3:uid="{7D6BD983-E378-4185-B234-B6F8B3B3DF50}" name="2021" dataDxfId="186"/>
    <tableColumn id="4" xr3:uid="{D75B70EA-90A1-4848-A9AC-AF9C2A3E6292}" name="2022" dataDxfId="185"/>
    <tableColumn id="5" xr3:uid="{55E632D7-11A3-4087-9F5B-A129579FB37A}" name="2023" dataDxfId="184"/>
    <tableColumn id="6" xr3:uid="{6C636805-77F1-40D4-AE01-8FD11D5D8462}" name="2024" dataDxfId="183"/>
  </tableColumns>
  <tableStyleInfo name="TableStyleMedium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8E51B18-06FF-477E-98D0-F34993BA540A}" name="Table8" displayName="Table8" ref="A1:F31" totalsRowShown="0" headerRowDxfId="182" dataDxfId="181">
  <autoFilter ref="A1:F31" xr:uid="{28E51B18-06FF-477E-98D0-F34993BA540A}"/>
  <tableColumns count="6">
    <tableColumn id="1" xr3:uid="{39E0C9F6-7BF9-4EA6-8A96-334765D5E1D2}" name="Cash Flow Statement - USD ($) $ in Millions" dataDxfId="180"/>
    <tableColumn id="2" xr3:uid="{867C4598-8533-476A-8ACB-881F3FF096B3}" name="2020" dataDxfId="179"/>
    <tableColumn id="3" xr3:uid="{27BDF2E2-493D-47F4-AF12-BFEBA673C734}" name="2021" dataDxfId="178"/>
    <tableColumn id="4" xr3:uid="{DEDED4C9-DC1B-4764-8474-E157B520D924}" name="2022" dataDxfId="177"/>
    <tableColumn id="5" xr3:uid="{E1105D0B-42A2-44EB-AAA5-FA676C2BD1B6}" name="2023" dataDxfId="176"/>
    <tableColumn id="6" xr3:uid="{D949445A-628F-4701-B72E-1C98D64EA520}" name="2024" dataDxfId="175"/>
  </tableColumns>
  <tableStyleInfo name="TableStyleMedium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5C780CA-D1D2-46DA-B52B-71B58D7F6952}" name="Table22" displayName="Table22" ref="F4:G6" totalsRowShown="0" headerRowDxfId="174" dataDxfId="173">
  <autoFilter ref="F4:G6" xr:uid="{35C780CA-D1D2-46DA-B52B-71B58D7F6952}"/>
  <tableColumns count="2">
    <tableColumn id="1" xr3:uid="{ADB0BBEB-BD93-4E4B-99B4-FE1B82A6D72F}" name="Slope" dataDxfId="172"/>
    <tableColumn id="2" xr3:uid="{0A3DE5D9-986E-457F-A7BF-ADCA6C730B45}" name="Value" dataDxfId="171">
      <calculatedColumnFormula>SLOPE(E3:E600, D3:D600)</calculatedColumnFormula>
    </tableColumn>
  </tableColumns>
  <tableStyleInfo name="TableStyleMedium3"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DF6BED2-7069-405F-B357-6EFD4DBE80BD}" name="Table23" displayName="Table23" ref="F7:G8" totalsRowShown="0" headerRowDxfId="170" dataDxfId="169" tableBorderDxfId="168">
  <autoFilter ref="F7:G8" xr:uid="{3DF6BED2-7069-405F-B357-6EFD4DBE80BD}"/>
  <tableColumns count="2">
    <tableColumn id="1" xr3:uid="{870FD4CC-12A1-4953-8DFB-0448E1B28492}" name="Beta" dataDxfId="167"/>
    <tableColumn id="2" xr3:uid="{DAC248FC-6DE3-40F7-B61E-E19EBF45960B}" name="Value" dataDxfId="166">
      <calculatedColumnFormula>_xlfn.COVARIANCE.P(E3:E600, D3:D600) / _xlfn.VAR.P(D3:D600)</calculatedColumnFormula>
    </tableColumn>
  </tableColumns>
  <tableStyleInfo name="TableStyleLight10"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89BC6EE-9A9D-449E-92BC-E1D81A455933}" name="Table21" displayName="Table21" ref="A1:E523" totalsRowShown="0" headerRowDxfId="165" dataDxfId="164">
  <autoFilter ref="A1:E523" xr:uid="{A89BC6EE-9A9D-449E-92BC-E1D81A455933}"/>
  <tableColumns count="5">
    <tableColumn id="1" xr3:uid="{B1FB18EA-242A-4DD6-BD27-69CAEC34A54B}" name="Date" dataDxfId="163"/>
    <tableColumn id="2" xr3:uid="{36E18C18-EB00-4EEF-8EB0-3A6296E54D88}" name="Index Close" dataDxfId="162"/>
    <tableColumn id="3" xr3:uid="{9F912CE4-4A6E-466B-9EB6-0DEE6D50EEB1}" name="Stock Close" dataDxfId="161"/>
    <tableColumn id="8" xr3:uid="{6159BDB5-6439-4D0D-B15C-39EC1338662C}" name="Index Return" dataDxfId="160"/>
    <tableColumn id="9" xr3:uid="{21100DC7-EC83-4FE7-9D33-886C4D86E245}" name="Stock Return" dataDxfId="159"/>
  </tableColumns>
  <tableStyleInfo name="TableStyleMedium3"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1028BDFA-42E4-49DE-B21E-337F4BE29C81}" name="Table24" displayName="Table24" ref="A1:O5" totalsRowShown="0" headerRowDxfId="158" dataDxfId="157">
  <autoFilter ref="A1:O5" xr:uid="{1028BDFA-42E4-49DE-B21E-337F4BE29C81}"/>
  <tableColumns count="15">
    <tableColumn id="1" xr3:uid="{72086944-8FF9-4AF2-BC92-6A7F78AB4A0B}" name="Subject Descripton" dataDxfId="156"/>
    <tableColumn id="2" xr3:uid="{04A74591-2930-4351-A689-D41154ACA1AC}" name="Units" dataDxfId="155"/>
    <tableColumn id="3" xr3:uid="{AEF28D86-424F-4A90-B405-3EA1C3E85941}" name="Scale" dataDxfId="154"/>
    <tableColumn id="4" xr3:uid="{58CAFD8F-CD2B-400A-8C54-AE4D0EE3018B}" name="Country/Series-specific Notes" dataDxfId="153"/>
    <tableColumn id="5" xr3:uid="{F225A106-AB9E-477B-ADE1-E3951A1481FF}" name="2020" dataDxfId="152"/>
    <tableColumn id="6" xr3:uid="{AB5C21F0-191A-48E2-8742-29B9DFF0590E}" name="2021" dataDxfId="151"/>
    <tableColumn id="7" xr3:uid="{03FF3FB0-4647-46C5-B76C-A3042E280E84}" name="2022" dataDxfId="150"/>
    <tableColumn id="8" xr3:uid="{8FBEA74F-412A-483E-A0DD-A5201F7ACEFA}" name="2023" dataDxfId="149"/>
    <tableColumn id="9" xr3:uid="{96E74E1B-A99E-4853-8709-A3AE200D2DE3}" name="2024" dataDxfId="148"/>
    <tableColumn id="10" xr3:uid="{83C41048-E018-42B1-BD1D-F92495F735DC}" name="2025E" dataDxfId="147"/>
    <tableColumn id="11" xr3:uid="{68683B3C-774D-4EDB-9EC6-D063CEC1E899}" name="2026E" dataDxfId="146"/>
    <tableColumn id="12" xr3:uid="{23CD5523-D86A-451F-A3C4-E6DCDA0E331E}" name="2027E" dataDxfId="145"/>
    <tableColumn id="13" xr3:uid="{77A5A545-4A3D-4B6B-99A1-12EAD5A62014}" name="2028E" dataDxfId="144"/>
    <tableColumn id="14" xr3:uid="{E906B67B-C226-47F5-8160-E11388593A38}" name="2029E" dataDxfId="143"/>
    <tableColumn id="15" xr3:uid="{DB758212-DD06-47FA-AC2F-15C3096FB473}" name="Estimates Starts After" dataDxfId="142"/>
  </tableColumns>
  <tableStyleInfo name="TableStyleMedium3"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7D4862C-3C4A-4AB6-B18B-667FF7B85712}" name="Table25" displayName="Table25" ref="A7:G17" totalsRowShown="0" headerRowDxfId="141" dataDxfId="140">
  <autoFilter ref="A7:G17" xr:uid="{C7D4862C-3C4A-4AB6-B18B-667FF7B85712}"/>
  <tableColumns count="7">
    <tableColumn id="1" xr3:uid="{8B5B2831-964C-40F9-88AD-843485B2F10A}" name="Years" dataDxfId="139"/>
    <tableColumn id="2" xr3:uid="{80D47AF6-C6ED-446D-98C8-6819142FD865}" name="GDP" dataDxfId="138"/>
    <tableColumn id="3" xr3:uid="{C546FC65-8B15-442D-B6B4-5DFBAF176EAA}" name="% Change in GDP" dataDxfId="137"/>
    <tableColumn id="4" xr3:uid="{B0DC9B66-D7AB-41E8-B1E1-E9E3AB5121D4}" name="Inflation" dataDxfId="136"/>
    <tableColumn id="5" xr3:uid="{3FA800B1-A2D6-47AF-BCE9-BA6FFF33261C}" name="% Change in Inflation" dataDxfId="135"/>
    <tableColumn id="6" xr3:uid="{31C3E4DF-4996-46FF-940D-A996411B0818}" name="Industry" dataDxfId="134"/>
    <tableColumn id="7" xr3:uid="{3048C768-D50A-46A4-9BB3-E8B3F03E1F4E}" name="Company" dataDxfId="133"/>
  </tableColumns>
  <tableStyleInfo name="TableStyleMedium3"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FA340C88-57B0-42AC-ABEC-DBCC3A8896D5}" name="Table42" displayName="Table42" ref="A16:G25" totalsRowShown="0" headerRowDxfId="132">
  <autoFilter ref="A16:G25" xr:uid="{FA340C88-57B0-42AC-ABEC-DBCC3A8896D5}"/>
  <tableColumns count="7">
    <tableColumn id="1" xr3:uid="{A6EB0125-126A-462E-B16A-715218E5E115}" name="Timeline Headers" dataDxfId="131"/>
    <tableColumn id="2" xr3:uid="{3F34B8FA-3DD4-41EE-9170-59D6A11D5F52}" name="2025E"/>
    <tableColumn id="3" xr3:uid="{B4F224F7-3B46-404C-964F-72AC73B5D390}" name="2026E"/>
    <tableColumn id="4" xr3:uid="{01BAA7A5-6396-4D05-A61D-3956FD0A3B1B}" name="2027E"/>
    <tableColumn id="5" xr3:uid="{9F28CAF8-4AC4-4B6E-A5B7-08B3C2E34F13}" name="2028E"/>
    <tableColumn id="6" xr3:uid="{66DDBEAE-59B0-4E2C-9A9B-908DAF8C8BDB}" name="2029E"/>
    <tableColumn id="7" xr3:uid="{9F57297A-07E0-4274-AE5D-B983F25E2C81}" name="Total" dataDxfId="130">
      <calculatedColumnFormula>SUM(B17:F17)</calculatedColumnFormula>
    </tableColumn>
  </tableColumns>
  <tableStyleInfo name="TableStyleMedium3"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4B38B54-B596-46E1-8673-BD6F385BEB35}" name="Table43" displayName="Table43" ref="A2:B15" totalsRowShown="0" headerRowDxfId="129">
  <autoFilter ref="A2:B15" xr:uid="{24B38B54-B596-46E1-8673-BD6F385BEB35}"/>
  <tableColumns count="2">
    <tableColumn id="1" xr3:uid="{7A4CAA55-3125-4ECF-9B08-8E7C3BCD328E}" name="Assumptions" dataDxfId="128"/>
    <tableColumn id="2" xr3:uid="{FABACFF3-19AD-4246-ABD4-D796ED9A2BAB}" name="Column1" dataDxfId="127"/>
  </tableColumns>
  <tableStyleInfo name="TableStyleMedium3"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7088C48E-8CEA-4BA6-8368-60CA2B4D5985}" name="Table45" displayName="Table45" ref="A26:B39" totalsRowShown="0">
  <autoFilter ref="A26:B39" xr:uid="{7088C48E-8CEA-4BA6-8368-60CA2B4D5985}"/>
  <tableColumns count="2">
    <tableColumn id="1" xr3:uid="{A1A10716-6A26-4FF9-A5A3-292342D761C2}" name="Column1" dataDxfId="126"/>
    <tableColumn id="2" xr3:uid="{39E5149F-6E3E-49E4-964F-477B5E2374F9}" name="Column2"/>
  </tableColumns>
  <tableStyleInfo name="TableStyleMedium3"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5F62271-C347-4925-BB69-EA9CCF81902E}" name="Table16" displayName="Table16" ref="A2:L15" totalsRowShown="0" headerRowDxfId="125" dataDxfId="124">
  <autoFilter ref="A2:L15" xr:uid="{95F62271-C347-4925-BB69-EA9CCF81902E}"/>
  <tableColumns count="12">
    <tableColumn id="1" xr3:uid="{C485BA11-2BD0-4192-91C7-D48DF4D878F4}" name="Dividend Discount Model (Reference only)" dataDxfId="123"/>
    <tableColumn id="2" xr3:uid="{E1474EC0-4794-4C1A-BCE3-3DAB06076C08}" name="Amount" dataDxfId="122"/>
    <tableColumn id="3" xr3:uid="{040CEF7A-2609-4B03-A3A3-6A208E7F2FDA}" name="2020" dataDxfId="121"/>
    <tableColumn id="4" xr3:uid="{A76D0C6F-3131-43E4-8898-87C820143EB1}" name="2021" dataDxfId="120"/>
    <tableColumn id="5" xr3:uid="{B482CC25-86AC-4425-A226-914B6AB27E7F}" name="2022" dataDxfId="119"/>
    <tableColumn id="6" xr3:uid="{586B3B90-C0C3-4D81-BCFF-77B267907487}" name="2023" dataDxfId="118"/>
    <tableColumn id="7" xr3:uid="{4DD17C73-934A-4B48-A7E2-5ABE8E8F0F86}" name="2024" dataDxfId="117"/>
    <tableColumn id="8" xr3:uid="{D7CDF18C-5640-4F14-AD3C-434920FE3C0A}" name="2025" dataDxfId="116"/>
    <tableColumn id="9" xr3:uid="{C8D06C1D-2BC5-4626-90FB-2DEB3DE4ABBE}" name="2026" dataDxfId="115"/>
    <tableColumn id="10" xr3:uid="{B7CE4DBA-2652-47AB-91D8-A74EEEA85AB4}" name="2027" dataDxfId="114"/>
    <tableColumn id="11" xr3:uid="{C08B5DE1-729E-44D5-8A05-8D5A54BBC938}" name="2028" dataDxfId="113"/>
    <tableColumn id="12" xr3:uid="{D106F021-95F4-4F99-9B11-0FEE786E5020}" name="2029" dataDxfId="112"/>
  </tableColumns>
  <tableStyleInfo name="TableStyleMedium10"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385AE37-A739-469A-AA34-A59820963BA1}" name="Table17" displayName="Table17" ref="A17:L31" totalsRowShown="0" headerRowDxfId="111" dataDxfId="110">
  <autoFilter ref="A17:L31" xr:uid="{1385AE37-A739-469A-AA34-A59820963BA1}"/>
  <tableColumns count="12">
    <tableColumn id="1" xr3:uid="{A23BC210-46C5-480A-AC97-28690326DE59}" name="Legacy DDM Check" dataDxfId="109"/>
    <tableColumn id="2" xr3:uid="{B50622E5-670D-4F96-839C-A973EF138BB0}" name="Amount" dataDxfId="108"/>
    <tableColumn id="3" xr3:uid="{5C7E96B5-6AFF-485D-8465-D11B22F6FA45}" name="2020" dataDxfId="107"/>
    <tableColumn id="4" xr3:uid="{6580AAE2-F02F-462F-A30E-D1469B1CE33B}" name="2021" dataDxfId="106"/>
    <tableColumn id="5" xr3:uid="{7D23E022-9DFD-4573-99AE-2FFB77EB757E}" name="2022" dataDxfId="105"/>
    <tableColumn id="6" xr3:uid="{7E08E62A-7C31-496B-A001-7EC9C94104F6}" name="2023" dataDxfId="104"/>
    <tableColumn id="7" xr3:uid="{DF45DE8B-08C6-4C8A-AB29-29E5894248B7}" name="2024" dataDxfId="103"/>
    <tableColumn id="8" xr3:uid="{F24418D0-34A5-447B-A5B3-8047F6BB196A}" name="2025" dataDxfId="102"/>
    <tableColumn id="9" xr3:uid="{AE91A29B-EE21-420A-AC04-55F70981043E}" name="2026" dataDxfId="101"/>
    <tableColumn id="10" xr3:uid="{0D6447DC-F40C-488C-951A-DA1D68C7C4CD}" name="2027" dataDxfId="100"/>
    <tableColumn id="11" xr3:uid="{9A2B550E-BBDC-4CBE-80AA-711EAFC912AA}" name="2028" dataDxfId="99"/>
    <tableColumn id="12" xr3:uid="{1A6B65BE-4AE2-4D2D-825B-CADDEA742755}" name="2029" dataDxfId="98"/>
  </tableColumns>
  <tableStyleInfo name="TableStyleMedium3"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32C3E7C-1B14-4045-819D-78B81CF58CF1}" name="Table18" displayName="Table18" ref="G33:H42" totalsRowShown="0" headerRowDxfId="97" dataDxfId="96">
  <autoFilter ref="G33:H42" xr:uid="{832C3E7C-1B14-4045-819D-78B81CF58CF1}"/>
  <tableColumns count="2">
    <tableColumn id="1" xr3:uid="{96055E02-32F2-4252-BA81-B98F2CFA6388}" name="Calculations" dataDxfId="95"/>
    <tableColumn id="2" xr3:uid="{FC3359DF-EFBB-4EDC-8AC6-2C6AF525440C}" name="Values" dataDxfId="94"/>
  </tableColumns>
  <tableStyleInfo name="TableStyleMedium3"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61D39C9-32C4-4735-9FF3-740B373F3912}" name="Table26" displayName="Table26" ref="A33:E55" totalsRowShown="0" headerRowDxfId="93" dataDxfId="92">
  <autoFilter ref="A33:E55" xr:uid="{761D39C9-32C4-4735-9FF3-740B373F3912}"/>
  <tableColumns count="5">
    <tableColumn id="1" xr3:uid="{20B8861E-97FE-4EC4-9131-97289F820BB7}" name="Relative Valuation" dataDxfId="91"/>
    <tableColumn id="2" xr3:uid="{674C4734-836D-432B-9764-CF617BC6BC97}" name="Company" dataDxfId="90"/>
    <tableColumn id="3" xr3:uid="{18705CD3-CF31-4690-A6F9-E8FB2673BAD2}" name="Industry" dataDxfId="89"/>
    <tableColumn id="4" xr3:uid="{87C76E09-3B63-49F6-8F70-8D2CA71E7006}" name="Implied " dataDxfId="88"/>
    <tableColumn id="5" xr3:uid="{4FB7EFEE-2D41-475D-B64C-3600B9F58F2B}" name="Price" dataDxfId="87"/>
  </tableColumns>
  <tableStyleInfo name="TableStyleMedium3"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D6DD7EB3-5EC4-4961-B73E-9456E13118AB}" name="Table29" displayName="Table29" ref="J33:M43" totalsRowShown="0" headerRowDxfId="86" dataDxfId="85">
  <autoFilter ref="J33:M43" xr:uid="{D6DD7EB3-5EC4-4961-B73E-9456E13118AB}"/>
  <tableColumns count="4">
    <tableColumn id="1" xr3:uid="{2E5DAFFC-945A-49D1-A1F6-9516A1258344}" name="Year" dataDxfId="84"/>
    <tableColumn id="2" xr3:uid="{743092EE-172F-4C44-8E89-B72C51A9F73A}" name="Total Dividend" dataDxfId="83"/>
    <tableColumn id="3" xr3:uid="{8F54AAB7-99A1-408F-9029-8ABEA1F9AEC6}" name="Dividend Per Share (DPS)" dataDxfId="82"/>
    <tableColumn id="4" xr3:uid="{647388C2-1DE4-4173-8DB7-12003D003012}" name="PV of DPS" dataDxfId="81"/>
  </tableColumns>
  <tableStyleInfo name="TableStyleMedium3"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0305597-275C-46ED-AF75-2021C88F12C1}" name="Table31" displayName="Table31" ref="G43:H49" totalsRowShown="0" headerRowDxfId="80" dataDxfId="79">
  <autoFilter ref="G43:H49" xr:uid="{E0305597-275C-46ED-AF75-2021C88F12C1}"/>
  <tableColumns count="2">
    <tableColumn id="1" xr3:uid="{B2BAAB19-D2A4-424A-922C-106B50C2418A}" name="Input" dataDxfId="78"/>
    <tableColumn id="2" xr3:uid="{5C4D22FD-3547-4395-A54F-D64B6745EAB5}" name="Value" dataDxfId="77"/>
  </tableColumns>
  <tableStyleInfo name="TableStyleMedium3"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BB849EF-32FC-4EAA-8F29-2DB3D4D52DDB}" name="Table32" displayName="Table32" ref="G50:J53" totalsRowShown="0" headerRowDxfId="76" dataDxfId="75">
  <autoFilter ref="G50:J53" xr:uid="{2BB849EF-32FC-4EAA-8F29-2DB3D4D52DDB}"/>
  <tableColumns count="4">
    <tableColumn id="1" xr3:uid="{A1409E65-C6C0-4AEA-841B-EBC123153F15}" name="g \ Ke" dataDxfId="74"/>
    <tableColumn id="2" xr3:uid="{EFD8D2E4-13E9-4005-8B7B-AB2662E67260}" name="9%" dataDxfId="73"/>
    <tableColumn id="3" xr3:uid="{34F39FB3-FD16-4ED7-98A3-E98257A0C41A}" name="10%" dataDxfId="72"/>
    <tableColumn id="4" xr3:uid="{E35B697B-8CBE-4C35-9DAF-BB5DA632CE0C}" name="11%" dataDxfId="71"/>
  </tableColumns>
  <tableStyleInfo name="TableStyleMedium3"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802A937-D717-478A-B54A-ED724B35137D}" name="Table33" displayName="Table33" ref="A57:B63" totalsRowShown="0" headerRowDxfId="70" dataDxfId="69">
  <autoFilter ref="A57:B63" xr:uid="{8802A937-D717-478A-B54A-ED724B35137D}"/>
  <tableColumns count="2">
    <tableColumn id="1" xr3:uid="{5C3FF4B5-1B6A-47FF-B140-E14B24B33CC6}" name="Method" dataDxfId="68"/>
    <tableColumn id="2" xr3:uid="{F00A4D20-42C5-4174-88C2-26DEAC65B544}" name="Value" dataDxfId="67"/>
  </tableColumns>
  <tableStyleInfo name="TableStyleMedium3"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487B9FF0-8E78-46DC-9958-7DB50E36DAC4}" name="Table36" displayName="Table36" ref="A64:H71" totalsRowShown="0" headerRowDxfId="66" dataDxfId="65">
  <autoFilter ref="A64:H71" xr:uid="{487B9FF0-8E78-46DC-9958-7DB50E36DAC4}"/>
  <tableColumns count="8">
    <tableColumn id="1" xr3:uid="{4B250EBA-B5AC-4384-9596-AC67EEA2A449}" name="Year" dataDxfId="64"/>
    <tableColumn id="2" xr3:uid="{CD42F65B-28B9-45F4-A8ED-D474EBC46A32}" name="Revenue Growth" dataDxfId="63"/>
    <tableColumn id="3" xr3:uid="{FCB4A988-DC52-47F2-B65F-DF073B216033}" name="EBIT Margin" dataDxfId="62"/>
    <tableColumn id="4" xr3:uid="{16EF71E3-04CB-4857-BA32-33C9C513D86B}" name="Tax Rate" dataDxfId="61"/>
    <tableColumn id="5" xr3:uid="{5572158D-0B52-49A9-98A3-2F0962051464}" name="Dep % of Revenue" dataDxfId="60"/>
    <tableColumn id="6" xr3:uid="{EAAB73B7-04D9-4932-B02D-E804F9F84110}" name="Capex % of Revenue" dataDxfId="59"/>
    <tableColumn id="7" xr3:uid="{E5E71151-A6E1-47DB-9BE7-04C150B7AA36}" name="Working Capital % of Revenue" dataDxfId="58"/>
    <tableColumn id="8" xr3:uid="{AB5A5BBA-7BB7-4196-A632-3100E8EA3F9D}" name="FCFE Growth (if used)" dataDxfId="57"/>
  </tableColumns>
  <tableStyleInfo name="TableStyleMedium3"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A433F72-0E18-425D-AAA3-8E58259AD145}" name="Table37" displayName="Table37" ref="J64:N70" totalsRowShown="0" headerRowDxfId="56" dataDxfId="55">
  <autoFilter ref="J64:N70" xr:uid="{AA433F72-0E18-425D-AAA3-8E58259AD145}"/>
  <tableColumns count="5">
    <tableColumn id="1" xr3:uid="{BB5097EA-EA68-4F93-BBED-C97E895D3D17}" name="Year" dataDxfId="54"/>
    <tableColumn id="2" xr3:uid="{CC414655-10D3-44F5-B46A-CF681736B837}" name="EBIT Growth" dataDxfId="53"/>
    <tableColumn id="3" xr3:uid="{182D1E57-4B7D-4ED0-A095-378E1171AF0A}" name="Dep Growth" dataDxfId="52"/>
    <tableColumn id="4" xr3:uid="{428C5ACA-BDC9-4EF8-8608-23A8B118A615}" name="Capex Growth" dataDxfId="51"/>
    <tableColumn id="5" xr3:uid="{029E8EC1-CB65-45F2-9CBD-6D90B37DEFE4}" name="WC Growth" dataDxfId="50"/>
  </tableColumns>
  <tableStyleInfo name="TableStyleMedium3"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C79FB896-D9EC-4BAA-AC0C-18B02C326159}" name="Table30" displayName="Table30" ref="N17:O23" totalsRowShown="0" headerRowDxfId="49" dataDxfId="48">
  <autoFilter ref="N17:O23" xr:uid="{C79FB896-D9EC-4BAA-AC0C-18B02C326159}"/>
  <tableColumns count="2">
    <tableColumn id="1" xr3:uid="{B4EADA7F-F713-4A65-A3DC-5890D336B6E7}" name="Column1" dataDxfId="47"/>
    <tableColumn id="2" xr3:uid="{FFAEA8C5-41D4-4B19-A554-FFDDD8200F05}" name="Column2" dataDxfId="46"/>
  </tableColumns>
  <tableStyleInfo name="TableStyleMedium3"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45CD77E4-C67F-4D6A-B1DC-E1E03C3DD8E9}" name="Table47" displayName="Table47" ref="A74:B85" totalsRowShown="0">
  <autoFilter ref="A74:B85" xr:uid="{45CD77E4-C67F-4D6A-B1DC-E1E03C3DD8E9}"/>
  <tableColumns count="2">
    <tableColumn id="1" xr3:uid="{6D52A4F2-67D2-4293-A19D-95595479D76A}" name="Assumption"/>
    <tableColumn id="2" xr3:uid="{4B824058-51BE-48E1-868C-12078D03964C}" name="Value"/>
  </tableColumns>
  <tableStyleInfo name="TableStyleMedium3"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9A968AB9-1048-4368-8865-7323D9C60F06}" name="Table48" displayName="Table48" ref="D74:H80" totalsRowShown="0">
  <autoFilter ref="D74:H80" xr:uid="{9A968AB9-1048-4368-8865-7323D9C60F06}"/>
  <tableColumns count="5">
    <tableColumn id="1" xr3:uid="{FF28404B-A88B-40C8-A8EA-7393A7D2CC30}" name="Year"/>
    <tableColumn id="2" xr3:uid="{CAF28B3D-101D-4D46-A5E1-0C7184D9C20B}" name="Revenue"/>
    <tableColumn id="3" xr3:uid="{611E7A53-48ED-4A7F-BC21-95192FBCC6A2}" name="WC %" dataDxfId="45"/>
    <tableColumn id="4" xr3:uid="{967FF156-90D4-4CE8-BFFC-C4047CBDD869}" name="Working Capital"/>
    <tableColumn id="5" xr3:uid="{88B5CD55-01DB-457D-8013-CC4C1910368A}" name="Δ Working Capital"/>
  </tableColumns>
  <tableStyleInfo name="TableStyleMedium3"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233B44F2-877A-46A2-8394-186A6CF11CF3}" name="Table49" displayName="Table49" ref="A88:H93" totalsRowShown="0">
  <autoFilter ref="A88:H93" xr:uid="{233B44F2-877A-46A2-8394-186A6CF11CF3}"/>
  <tableColumns count="8">
    <tableColumn id="1" xr3:uid="{C5416F8D-A4FC-44B4-9899-1873FD7BD211}" name="Year"/>
    <tableColumn id="2" xr3:uid="{7B2623F7-9EAE-41BB-8988-3217A13D12AD}" name="EBIT"/>
    <tableColumn id="3" xr3:uid="{0A744D33-5610-4F6B-9B6D-D2D8930B9958}" name="Tax Rate" dataDxfId="44"/>
    <tableColumn id="4" xr3:uid="{2B476D49-1C54-4473-8858-2FBAE466DBDE}" name="NOPAT"/>
    <tableColumn id="5" xr3:uid="{D0FB4F34-29D5-450A-B7DD-EAC5BA53917C}" name="Depreciation"/>
    <tableColumn id="6" xr3:uid="{92A20F38-7794-41EC-AE5F-FA0A4B4A3176}" name="Capex"/>
    <tableColumn id="7" xr3:uid="{E06A6B9C-977C-46DA-A395-A68C0AA09EC1}" name="Δ Working Capital"/>
    <tableColumn id="8" xr3:uid="{543D7739-D401-4FF2-B6E8-A899C2A93546}" name="FCFF"/>
  </tableColumns>
  <tableStyleInfo name="TableStyleMedium3"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F009852F-D603-4937-9C0B-EA97CC83791F}" name="Table50" displayName="Table50" ref="A96:E110" totalsRowShown="0">
  <autoFilter ref="A96:E110" xr:uid="{F009852F-D603-4937-9C0B-EA97CC83791F}"/>
  <tableColumns count="5">
    <tableColumn id="1" xr3:uid="{D6E26CF3-4ABE-484F-9745-3AA665C50543}" name="Year"/>
    <tableColumn id="2" xr3:uid="{8E702A32-571C-451E-B528-84A857451098}" name="FCFF"/>
    <tableColumn id="3" xr3:uid="{98C5B085-9F63-4771-871F-67F7DD6B828A}" name="Discount Factor (8.7%)"/>
    <tableColumn id="4" xr3:uid="{A1D59CB8-19E5-4AE8-B60A-676C98F9AD55}" name="PV FCFF"/>
    <tableColumn id="5" xr3:uid="{37FEAEFE-18B7-4E8D-9F3C-B81C10AC0FC1}" name="Total PV FCFF" dataDxfId="43">
      <calculatedColumnFormula>SUM(D97:D101)</calculatedColumnFormula>
    </tableColumn>
  </tableColumns>
  <tableStyleInfo name="TableStyleMedium3"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23EF68D-B7D0-48D6-90AC-B2A8FE6B3DFE}" name="Table28" displayName="Table28" ref="A1:F8" totalsRowCount="1" headerRowDxfId="42" dataDxfId="41">
  <autoFilter ref="A1:F7" xr:uid="{123EF68D-B7D0-48D6-90AC-B2A8FE6B3DFE}"/>
  <tableColumns count="6">
    <tableColumn id="1" xr3:uid="{361AE8C4-D6BF-496D-ACFC-16088D9F0589}" name="Competitors of Mastercard Inc" dataDxfId="40" totalsRowDxfId="39"/>
    <tableColumn id="2" xr3:uid="{7BF3DD1A-81DB-47B1-85C5-EAC950E006B8}" name="Last Price" dataDxfId="38" totalsRowDxfId="37"/>
    <tableColumn id="3" xr3:uid="{9D6938F8-CA4E-4E75-A2A0-0E5C3B0F1B12}" name="Market Cap ($ mn)" totalsRowFunction="custom" dataDxfId="36" totalsRowDxfId="35">
      <totalsRowFormula>SUM(Table28[Market Cap ($ mn)])</totalsRowFormula>
    </tableColumn>
    <tableColumn id="4" xr3:uid="{6B31E7E2-4728-4F8E-8337-EBAEAFA95171}" name="Sales ($ mn)" dataDxfId="34" totalsRowDxfId="33"/>
    <tableColumn id="5" xr3:uid="{41844F55-9DD9-4F5F-8165-D137CF09A7CA}" name="Net Profit ($ mn)" totalsRowFunction="sum" dataDxfId="32" totalsRowDxfId="31"/>
    <tableColumn id="6" xr3:uid="{BA4C0083-D87F-488D-85FD-C0E24DAD25F9}" name="Total Assets ($ mn)" dataDxfId="30" totalsRowDxfId="29"/>
  </tableColumns>
  <tableStyleInfo name="TableStyleMedium3"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4506A0B-FA0F-4474-8786-7B1B030EA2EF}" name="Table39" displayName="Table39" ref="A2:M73" headerRowDxfId="28" dataDxfId="27">
  <autoFilter ref="A2:M73" xr:uid="{64506A0B-FA0F-4474-8786-7B1B030EA2EF}"/>
  <tableColumns count="13">
    <tableColumn id="1" xr3:uid="{81CCF371-3E32-4338-929B-0C648713243E}" name="Column1" totalsRowLabel="Total" dataDxfId="26" totalsRowDxfId="25"/>
    <tableColumn id="2" xr3:uid="{2985F98F-919A-43A2-ACE4-D923251D1742}" name="Column2" dataDxfId="24" totalsRowDxfId="23"/>
    <tableColumn id="3" xr3:uid="{6E6518F7-C576-40A1-994E-DE79D55C7D7A}" name="Column3" dataDxfId="22" totalsRowDxfId="21"/>
    <tableColumn id="4" xr3:uid="{015358E3-88C6-49E2-A094-B5D81370B7BA}" name="Column4" dataDxfId="20" totalsRowDxfId="19"/>
    <tableColumn id="5" xr3:uid="{1F7DCAE9-487B-422C-B73E-82A6D058B3A3}" name="Column5" dataDxfId="18" totalsRowDxfId="17"/>
    <tableColumn id="6" xr3:uid="{AD31754B-8F4E-4012-B781-5EF699066C20}" name="Column6" dataDxfId="16" totalsRowDxfId="15"/>
    <tableColumn id="7" xr3:uid="{AF991820-376E-471D-A266-9B6669CF0F8D}" name="Column7" dataDxfId="14" totalsRowDxfId="13"/>
    <tableColumn id="8" xr3:uid="{BBC31584-8F2C-430E-931F-073CD5CF41B6}" name="Column8" dataDxfId="12" totalsRowDxfId="11"/>
    <tableColumn id="9" xr3:uid="{7C9996FB-4DCB-4B2C-9749-1C018C604CD1}" name="Column9" dataDxfId="10" totalsRowDxfId="9"/>
    <tableColumn id="10" xr3:uid="{3146963B-C867-48ED-9CD7-F835CB38CE8F}" name="Column10" dataDxfId="8" totalsRowDxfId="7"/>
    <tableColumn id="11" xr3:uid="{F822E955-6ADC-4895-981E-3F043B07A199}" name="Column11" dataDxfId="6" totalsRowDxfId="5"/>
    <tableColumn id="12" xr3:uid="{EA1A3C8F-9039-4B0B-9016-5D6893F09A11}" name="Column12" dataDxfId="4" totalsRowDxfId="3"/>
    <tableColumn id="13" xr3:uid="{12F82C2E-4898-4263-BA2F-FF826BAB03E8}" name="Column13" totalsRowFunction="count" dataDxfId="2" totalsRowDxfId="1">
      <calculatedColumnFormula>AVERAGE(I3:L3)</calculatedColumnFormula>
    </tableColumn>
  </tableColumns>
  <tableStyleInfo name="TableStyleMedium3"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EA1DD5D6-45DE-489D-9433-61A7AC476BEF}" name="Table40" displayName="Table40" ref="B78:G80" totalsRowShown="0" headerRowDxfId="0">
  <autoFilter ref="B78:G80" xr:uid="{EA1DD5D6-45DE-489D-9433-61A7AC476BEF}"/>
  <tableColumns count="6">
    <tableColumn id="1" xr3:uid="{D70DD522-CF55-4D4B-B09A-DB79BD0504E8}" name="PAT / Sales"/>
    <tableColumn id="2" xr3:uid="{6E16E942-74C9-4730-988F-118DBD464B4E}" name="2020">
      <calculatedColumnFormula>VLOOKUP($B$78,$A$3:$M$74,9,FALSE)</calculatedColumnFormula>
    </tableColumn>
    <tableColumn id="3" xr3:uid="{23367695-15FC-4972-9084-ECF606BA117B}" name="2021">
      <calculatedColumnFormula>VLOOKUP($B$78,$A$3:$M$74,10,FALSE)</calculatedColumnFormula>
    </tableColumn>
    <tableColumn id="4" xr3:uid="{275DA9C8-3394-4E6E-A3AC-043AE8760E60}" name="2022">
      <calculatedColumnFormula>VLOOKUP($B$78,$A$3:$M$74,11,FALSE)</calculatedColumnFormula>
    </tableColumn>
    <tableColumn id="5" xr3:uid="{57907B9E-9ECC-4071-9D00-C09AABCD4708}" name="2023">
      <calculatedColumnFormula>VLOOKUP($B$78,$A$3:$M$74,12,FALSE)</calculatedColumnFormula>
    </tableColumn>
    <tableColumn id="6" xr3:uid="{82E02A03-8A60-487C-9F1D-14BB26F1E5FA}" name="2024">
      <calculatedColumnFormula>VLOOKUP($B$78,$A$3:$M$74,13,FALSE)</calculatedColumnFormula>
    </tableColumn>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3.xml"/><Relationship Id="rId4" Type="http://schemas.openxmlformats.org/officeDocument/2006/relationships/table" Target="../tables/table7.xml"/></Relationships>
</file>

<file path=xl/worksheets/_rels/sheet5.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2" Type="http://schemas.openxmlformats.org/officeDocument/2006/relationships/drawing" Target="../drawings/drawing7.xml"/><Relationship Id="rId16" Type="http://schemas.openxmlformats.org/officeDocument/2006/relationships/table" Target="../tables/table24.xml"/><Relationship Id="rId1" Type="http://schemas.openxmlformats.org/officeDocument/2006/relationships/printerSettings" Target="../printerSettings/printerSettings2.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2.xml"/><Relationship Id="rId4" Type="http://schemas.openxmlformats.org/officeDocument/2006/relationships/table" Target="../tables/table30.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drawing" Target="../drawings/drawing13.xml"/><Relationship Id="rId1" Type="http://schemas.openxmlformats.org/officeDocument/2006/relationships/printerSettings" Target="../printerSettings/printerSettings3.bin"/><Relationship Id="rId4" Type="http://schemas.openxmlformats.org/officeDocument/2006/relationships/table" Target="../tables/table32.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table" Target="../tables/table33.xml"/><Relationship Id="rId1" Type="http://schemas.openxmlformats.org/officeDocument/2006/relationships/drawing" Target="../drawings/drawing14.xml"/><Relationship Id="rId4" Type="http://schemas.openxmlformats.org/officeDocument/2006/relationships/table" Target="../tables/table35.xml"/></Relationships>
</file>

<file path=xl/worksheets/_rels/sheet16.xml.rels><?xml version="1.0" encoding="UTF-8" standalone="yes"?>
<Relationships xmlns="http://schemas.openxmlformats.org/package/2006/relationships"><Relationship Id="rId8" Type="http://schemas.openxmlformats.org/officeDocument/2006/relationships/table" Target="../tables/table41.xml"/><Relationship Id="rId13" Type="http://schemas.openxmlformats.org/officeDocument/2006/relationships/table" Target="../tables/table46.xml"/><Relationship Id="rId3" Type="http://schemas.openxmlformats.org/officeDocument/2006/relationships/table" Target="../tables/table36.xml"/><Relationship Id="rId7" Type="http://schemas.openxmlformats.org/officeDocument/2006/relationships/table" Target="../tables/table40.xml"/><Relationship Id="rId12" Type="http://schemas.openxmlformats.org/officeDocument/2006/relationships/table" Target="../tables/table45.xml"/><Relationship Id="rId17" Type="http://schemas.openxmlformats.org/officeDocument/2006/relationships/table" Target="../tables/table50.xml"/><Relationship Id="rId2" Type="http://schemas.openxmlformats.org/officeDocument/2006/relationships/drawing" Target="../drawings/drawing15.xml"/><Relationship Id="rId16" Type="http://schemas.openxmlformats.org/officeDocument/2006/relationships/table" Target="../tables/table49.xml"/><Relationship Id="rId1" Type="http://schemas.openxmlformats.org/officeDocument/2006/relationships/printerSettings" Target="../printerSettings/printerSettings4.bin"/><Relationship Id="rId6" Type="http://schemas.openxmlformats.org/officeDocument/2006/relationships/table" Target="../tables/table39.xml"/><Relationship Id="rId11" Type="http://schemas.openxmlformats.org/officeDocument/2006/relationships/table" Target="../tables/table44.xml"/><Relationship Id="rId5" Type="http://schemas.openxmlformats.org/officeDocument/2006/relationships/table" Target="../tables/table38.xml"/><Relationship Id="rId15" Type="http://schemas.openxmlformats.org/officeDocument/2006/relationships/table" Target="../tables/table48.xml"/><Relationship Id="rId10" Type="http://schemas.openxmlformats.org/officeDocument/2006/relationships/table" Target="../tables/table43.xml"/><Relationship Id="rId4" Type="http://schemas.openxmlformats.org/officeDocument/2006/relationships/table" Target="../tables/table37.xml"/><Relationship Id="rId9" Type="http://schemas.openxmlformats.org/officeDocument/2006/relationships/table" Target="../tables/table42.xml"/><Relationship Id="rId14" Type="http://schemas.openxmlformats.org/officeDocument/2006/relationships/table" Target="../tables/table47.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51.xml"/><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53.xml"/><Relationship Id="rId2" Type="http://schemas.openxmlformats.org/officeDocument/2006/relationships/table" Target="../tables/table52.xml"/><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D4813-5A44-480F-8603-5A8BA81E8237}">
  <dimension ref="A1:O77"/>
  <sheetViews>
    <sheetView tabSelected="1" zoomScale="80" zoomScaleNormal="90" workbookViewId="0"/>
  </sheetViews>
  <sheetFormatPr defaultColWidth="9.1640625" defaultRowHeight="12.5"/>
  <cols>
    <col min="1" max="1" width="91.75" style="2" customWidth="1"/>
    <col min="2" max="2" width="26.75" style="2" customWidth="1"/>
    <col min="3" max="3" width="12.1640625" style="2" customWidth="1"/>
    <col min="4" max="4" width="12.9140625" style="2" customWidth="1"/>
    <col min="5" max="9" width="9.1640625" style="2"/>
    <col min="10" max="10" width="11.58203125" style="2" customWidth="1"/>
    <col min="11" max="11" width="12" style="2" customWidth="1"/>
    <col min="12" max="16384" width="9.1640625" style="2"/>
  </cols>
  <sheetData>
    <row r="1" spans="1:15" ht="15.75" customHeight="1">
      <c r="A1" s="164" t="s">
        <v>529</v>
      </c>
      <c r="B1" s="4"/>
      <c r="C1" s="4"/>
      <c r="D1" s="4"/>
      <c r="E1" s="4"/>
      <c r="F1" s="4"/>
      <c r="G1" s="4"/>
      <c r="H1" s="4"/>
      <c r="J1"/>
      <c r="K1"/>
      <c r="L1"/>
      <c r="M1"/>
      <c r="N1"/>
      <c r="O1"/>
    </row>
    <row r="2" spans="1:15" ht="12.65" customHeight="1">
      <c r="A2" s="164" t="s">
        <v>1096</v>
      </c>
      <c r="B2" s="4"/>
      <c r="C2" s="4"/>
      <c r="D2" s="4"/>
      <c r="E2" s="4"/>
      <c r="F2" s="4"/>
      <c r="G2" s="4"/>
      <c r="H2" s="4"/>
      <c r="J2" s="5"/>
      <c r="K2" s="5"/>
      <c r="L2" s="5"/>
      <c r="M2" s="5"/>
      <c r="N2" s="5"/>
      <c r="O2" s="5"/>
    </row>
    <row r="3" spans="1:15" ht="14">
      <c r="A3" s="164" t="s">
        <v>533</v>
      </c>
      <c r="B3" s="4"/>
      <c r="C3" s="4"/>
      <c r="D3" s="4"/>
      <c r="E3" s="4"/>
      <c r="F3" s="4"/>
      <c r="G3" s="4"/>
      <c r="H3" s="4"/>
      <c r="J3"/>
      <c r="K3"/>
      <c r="L3"/>
      <c r="M3"/>
      <c r="N3"/>
      <c r="O3"/>
    </row>
    <row r="4" spans="1:15" ht="14">
      <c r="A4" s="4" t="s">
        <v>535</v>
      </c>
      <c r="B4" s="4" t="s">
        <v>111</v>
      </c>
      <c r="C4" s="4"/>
      <c r="D4" s="4"/>
      <c r="E4" s="4"/>
      <c r="F4" s="4"/>
      <c r="G4" s="4"/>
      <c r="H4" s="4"/>
      <c r="I4"/>
      <c r="J4"/>
      <c r="K4"/>
      <c r="L4"/>
      <c r="M4"/>
      <c r="N4"/>
      <c r="O4"/>
    </row>
    <row r="5" spans="1:15" ht="14">
      <c r="A5" s="4" t="s">
        <v>259</v>
      </c>
      <c r="B5" s="4" t="s">
        <v>530</v>
      </c>
      <c r="C5" s="4"/>
      <c r="D5" s="4"/>
      <c r="E5" s="4"/>
      <c r="F5" s="4"/>
      <c r="G5" s="4"/>
      <c r="H5" s="4"/>
      <c r="I5" s="5"/>
      <c r="J5"/>
      <c r="K5"/>
      <c r="L5"/>
      <c r="M5"/>
      <c r="N5"/>
      <c r="O5"/>
    </row>
    <row r="6" spans="1:15" ht="14">
      <c r="A6" s="4" t="s">
        <v>531</v>
      </c>
      <c r="B6" s="4" t="s">
        <v>526</v>
      </c>
      <c r="C6" s="4"/>
      <c r="D6" s="4"/>
      <c r="E6" s="4"/>
      <c r="F6" s="4"/>
      <c r="G6" s="4"/>
      <c r="H6" s="4"/>
      <c r="I6" s="160"/>
      <c r="J6"/>
      <c r="K6"/>
      <c r="L6"/>
      <c r="M6"/>
      <c r="N6"/>
      <c r="O6"/>
    </row>
    <row r="7" spans="1:15" ht="14">
      <c r="A7" s="4" t="s">
        <v>532</v>
      </c>
      <c r="B7" s="4" t="s">
        <v>980</v>
      </c>
      <c r="C7" s="4"/>
      <c r="D7" s="4"/>
      <c r="E7" s="4"/>
      <c r="F7" s="4"/>
      <c r="G7" s="4"/>
      <c r="H7" s="4"/>
      <c r="I7"/>
      <c r="J7"/>
      <c r="K7"/>
      <c r="L7"/>
      <c r="M7"/>
      <c r="N7"/>
      <c r="O7"/>
    </row>
    <row r="8" spans="1:15" ht="14">
      <c r="A8" s="4" t="s">
        <v>943</v>
      </c>
      <c r="B8" s="224">
        <f>'Profit Loss'!F24</f>
        <v>927</v>
      </c>
      <c r="C8" s="4"/>
      <c r="D8" s="4"/>
      <c r="E8" s="4"/>
      <c r="F8" s="4"/>
      <c r="G8" s="4"/>
      <c r="H8" s="4"/>
      <c r="I8"/>
      <c r="J8" s="159"/>
      <c r="K8" s="159"/>
      <c r="L8" s="159"/>
      <c r="M8" s="159"/>
      <c r="N8" s="159"/>
      <c r="O8" s="159"/>
    </row>
    <row r="9" spans="1:15" ht="14">
      <c r="A9" s="4" t="s">
        <v>1089</v>
      </c>
      <c r="B9" s="4">
        <f>B52</f>
        <v>450</v>
      </c>
      <c r="C9" s="4"/>
      <c r="D9" s="4"/>
      <c r="E9" s="4"/>
      <c r="F9" s="4"/>
      <c r="G9" s="4"/>
      <c r="H9" s="4"/>
      <c r="I9"/>
      <c r="J9"/>
      <c r="K9"/>
      <c r="L9"/>
      <c r="M9"/>
      <c r="N9"/>
      <c r="O9"/>
    </row>
    <row r="10" spans="1:15" ht="14">
      <c r="A10" s="4" t="s">
        <v>221</v>
      </c>
      <c r="B10" s="228">
        <f>B8*B9</f>
        <v>417150</v>
      </c>
      <c r="C10" s="4"/>
      <c r="D10" s="4"/>
      <c r="E10" s="4"/>
      <c r="F10" s="4"/>
      <c r="G10" s="4"/>
      <c r="H10" s="4"/>
      <c r="I10"/>
      <c r="J10"/>
      <c r="K10"/>
      <c r="L10"/>
      <c r="M10"/>
      <c r="N10"/>
      <c r="O10"/>
    </row>
    <row r="11" spans="1:15" ht="14">
      <c r="A11" s="4"/>
      <c r="B11" s="4"/>
      <c r="C11" s="4"/>
      <c r="D11" s="4"/>
      <c r="E11" s="4"/>
      <c r="F11" s="4"/>
      <c r="G11" s="4"/>
      <c r="H11" s="4"/>
      <c r="I11" s="158"/>
      <c r="J11"/>
      <c r="K11"/>
      <c r="L11"/>
      <c r="M11"/>
      <c r="N11"/>
      <c r="O11"/>
    </row>
    <row r="12" spans="1:15" ht="14">
      <c r="A12" s="164" t="s">
        <v>1090</v>
      </c>
      <c r="B12" s="229">
        <v>2024</v>
      </c>
      <c r="C12" s="4"/>
      <c r="D12" s="4"/>
      <c r="E12" s="4"/>
      <c r="F12" s="4"/>
      <c r="G12" s="4"/>
      <c r="H12" s="4"/>
      <c r="I12" s="160"/>
      <c r="J12"/>
      <c r="K12"/>
      <c r="L12"/>
      <c r="M12"/>
      <c r="N12"/>
      <c r="O12"/>
    </row>
    <row r="13" spans="1:15" ht="14">
      <c r="A13" s="230" t="s">
        <v>223</v>
      </c>
      <c r="B13" s="231">
        <f>B22</f>
        <v>417150</v>
      </c>
      <c r="C13" s="4"/>
      <c r="D13" s="4"/>
      <c r="E13" s="4"/>
      <c r="F13" s="4"/>
      <c r="G13" s="4"/>
      <c r="H13" s="4"/>
      <c r="I13"/>
      <c r="J13"/>
      <c r="K13"/>
      <c r="L13"/>
      <c r="M13"/>
      <c r="N13"/>
      <c r="O13"/>
    </row>
    <row r="14" spans="1:15" ht="14">
      <c r="A14" s="230" t="s">
        <v>1091</v>
      </c>
      <c r="B14" s="232">
        <f>B9/B32</f>
        <v>32.39740820734341</v>
      </c>
      <c r="C14" s="4"/>
      <c r="D14" s="4"/>
      <c r="E14" s="4"/>
      <c r="F14" s="4"/>
      <c r="G14" s="4"/>
      <c r="H14" s="4"/>
      <c r="I14"/>
      <c r="J14" s="159"/>
      <c r="K14" s="159"/>
      <c r="L14" s="159"/>
      <c r="M14" s="159"/>
      <c r="N14" s="159"/>
      <c r="O14" s="159"/>
    </row>
    <row r="15" spans="1:15" ht="14">
      <c r="A15" s="230" t="s">
        <v>230</v>
      </c>
      <c r="B15" s="232">
        <f>B13/'Profit Loss'!F25</f>
        <v>25.31403604587657</v>
      </c>
      <c r="C15" s="4"/>
      <c r="D15" s="4"/>
      <c r="E15" s="4"/>
      <c r="F15" s="4"/>
      <c r="G15" s="4"/>
      <c r="H15" s="4"/>
      <c r="I15"/>
      <c r="J15"/>
      <c r="K15"/>
      <c r="L15"/>
      <c r="M15"/>
      <c r="N15"/>
      <c r="O15"/>
    </row>
    <row r="16" spans="1:15" ht="14">
      <c r="A16" s="230" t="s">
        <v>1092</v>
      </c>
      <c r="B16" s="232">
        <f>B9/B17</f>
        <v>64.029163468917886</v>
      </c>
      <c r="C16" s="4"/>
      <c r="D16" s="4"/>
      <c r="E16" s="4"/>
      <c r="F16" s="4"/>
      <c r="G16" s="4"/>
      <c r="H16" s="4"/>
      <c r="I16"/>
      <c r="J16"/>
      <c r="K16"/>
      <c r="L16"/>
      <c r="M16"/>
      <c r="N16"/>
      <c r="O16"/>
    </row>
    <row r="17" spans="1:15" ht="14">
      <c r="A17" s="4" t="s">
        <v>1093</v>
      </c>
      <c r="B17" s="233">
        <f>Balance_Sheet!F41/'Profit Loss'!F24</f>
        <v>7.028047464940669</v>
      </c>
      <c r="C17" s="4"/>
      <c r="D17" s="4"/>
      <c r="E17" s="4"/>
      <c r="F17" s="4"/>
      <c r="G17" s="4"/>
      <c r="H17" s="4"/>
      <c r="I17" s="158"/>
      <c r="J17"/>
      <c r="K17"/>
      <c r="L17"/>
      <c r="M17"/>
      <c r="N17"/>
      <c r="O17"/>
    </row>
    <row r="18" spans="1:15" ht="14">
      <c r="A18" s="4"/>
      <c r="B18" s="4"/>
      <c r="C18" s="4"/>
      <c r="D18" s="4"/>
      <c r="E18" s="4"/>
      <c r="F18" s="4"/>
      <c r="G18" s="4"/>
      <c r="H18" s="4"/>
      <c r="I18" s="160"/>
    </row>
    <row r="19" spans="1:15" ht="14">
      <c r="A19" s="164" t="s">
        <v>1094</v>
      </c>
      <c r="B19" s="4"/>
      <c r="C19" s="4"/>
      <c r="D19" s="4"/>
      <c r="E19" s="4"/>
      <c r="F19" s="4"/>
      <c r="G19" s="4"/>
      <c r="H19" s="4"/>
      <c r="I19"/>
    </row>
    <row r="20" spans="1:15" ht="14">
      <c r="A20" s="164" t="s">
        <v>536</v>
      </c>
      <c r="B20" s="164" t="s">
        <v>112</v>
      </c>
      <c r="C20" s="4"/>
      <c r="D20" s="4"/>
      <c r="E20" s="4"/>
      <c r="F20" s="4"/>
      <c r="G20" s="4"/>
      <c r="H20" s="4"/>
      <c r="I20"/>
    </row>
    <row r="21" spans="1:15">
      <c r="A21" s="4" t="s">
        <v>944</v>
      </c>
      <c r="B21" s="228">
        <f>B10</f>
        <v>417150</v>
      </c>
      <c r="C21" s="4"/>
      <c r="D21" s="4"/>
      <c r="E21" s="4"/>
      <c r="F21" s="4"/>
      <c r="G21" s="4"/>
      <c r="H21" s="4"/>
    </row>
    <row r="22" spans="1:15">
      <c r="A22" s="4" t="s">
        <v>223</v>
      </c>
      <c r="B22" s="228">
        <f>B10</f>
        <v>417150</v>
      </c>
      <c r="C22" s="4"/>
      <c r="D22" s="4"/>
      <c r="E22" s="4"/>
      <c r="F22" s="4"/>
      <c r="G22" s="4"/>
      <c r="H22" s="4"/>
    </row>
    <row r="23" spans="1:15">
      <c r="A23" s="4" t="s">
        <v>226</v>
      </c>
      <c r="B23" s="194">
        <f>B14</f>
        <v>32.39740820734341</v>
      </c>
      <c r="C23" s="4"/>
      <c r="D23" s="4"/>
      <c r="E23" s="4"/>
      <c r="F23" s="4"/>
      <c r="G23" s="4"/>
      <c r="H23" s="4"/>
    </row>
    <row r="24" spans="1:15">
      <c r="A24" s="4" t="s">
        <v>230</v>
      </c>
      <c r="B24" s="194">
        <f>B15</f>
        <v>25.31403604587657</v>
      </c>
      <c r="C24" s="4"/>
      <c r="D24" s="4"/>
      <c r="E24" s="4"/>
      <c r="F24" s="4"/>
      <c r="G24" s="4"/>
      <c r="H24" s="4"/>
    </row>
    <row r="25" spans="1:15">
      <c r="A25" s="4" t="s">
        <v>954</v>
      </c>
      <c r="B25" s="234">
        <f>B53</f>
        <v>378.19634764876378</v>
      </c>
      <c r="C25" s="4"/>
      <c r="D25" s="4"/>
      <c r="E25" s="4"/>
      <c r="F25" s="4"/>
      <c r="G25" s="4"/>
      <c r="H25" s="4"/>
    </row>
    <row r="26" spans="1:15">
      <c r="A26" s="4" t="s">
        <v>1095</v>
      </c>
      <c r="B26" s="203">
        <f>B54</f>
        <v>-0.15956367189163606</v>
      </c>
      <c r="C26" s="4"/>
      <c r="D26" s="4"/>
      <c r="E26" s="4"/>
      <c r="F26" s="4"/>
      <c r="G26" s="4"/>
      <c r="H26" s="4"/>
    </row>
    <row r="27" spans="1:15">
      <c r="A27" s="4"/>
      <c r="B27" s="4"/>
      <c r="C27" s="4"/>
      <c r="D27" s="4"/>
      <c r="E27" s="4"/>
      <c r="F27" s="4"/>
      <c r="G27" s="4"/>
      <c r="H27" s="4"/>
    </row>
    <row r="28" spans="1:15" ht="13">
      <c r="A28" s="164" t="s">
        <v>534</v>
      </c>
      <c r="B28" s="4"/>
      <c r="C28" s="4"/>
      <c r="D28" s="4"/>
      <c r="E28" s="4"/>
      <c r="F28" s="4"/>
      <c r="G28" s="4"/>
      <c r="H28" s="4"/>
    </row>
    <row r="29" spans="1:15" ht="13">
      <c r="A29" s="164" t="s">
        <v>536</v>
      </c>
      <c r="B29" s="164">
        <v>2024</v>
      </c>
      <c r="C29" s="164" t="s">
        <v>124</v>
      </c>
      <c r="D29" s="164" t="s">
        <v>125</v>
      </c>
      <c r="E29" s="164" t="s">
        <v>126</v>
      </c>
      <c r="F29" s="164" t="s">
        <v>127</v>
      </c>
      <c r="G29" s="164" t="s">
        <v>128</v>
      </c>
      <c r="H29" s="4"/>
    </row>
    <row r="30" spans="1:15">
      <c r="A30" s="4" t="s">
        <v>537</v>
      </c>
      <c r="B30" s="4">
        <f>'Profit Loss'!F4</f>
        <v>28167</v>
      </c>
      <c r="C30" s="4">
        <f>'Profit Loss'!G4</f>
        <v>31265.370000000003</v>
      </c>
      <c r="D30" s="4">
        <f>'Profit Loss'!H4</f>
        <v>34391.907000000007</v>
      </c>
      <c r="E30" s="4">
        <f>'Profit Loss'!I4</f>
        <v>37487.178630000009</v>
      </c>
      <c r="F30" s="4">
        <f>'Profit Loss'!J4</f>
        <v>40486.152920400011</v>
      </c>
      <c r="G30" s="4">
        <f>'Profit Loss'!K4</f>
        <v>43320.183624828016</v>
      </c>
      <c r="H30" s="4"/>
    </row>
    <row r="31" spans="1:15">
      <c r="A31" s="4" t="s">
        <v>538</v>
      </c>
      <c r="B31" s="4">
        <f>'Profit Loss'!F20</f>
        <v>12874</v>
      </c>
      <c r="C31" s="4">
        <f>'Profit Loss'!G20</f>
        <v>14041.325340000003</v>
      </c>
      <c r="D31" s="4">
        <f>'Profit Loss'!H20</f>
        <v>15786.104140800004</v>
      </c>
      <c r="E31" s="4">
        <f>'Profit Loss'!I20</f>
        <v>17411.449821318005</v>
      </c>
      <c r="F31" s="4">
        <f>'Profit Loss'!J20</f>
        <v>19017.163967548327</v>
      </c>
      <c r="G31" s="4">
        <f>'Profit Loss'!K20</f>
        <v>20568.896110023161</v>
      </c>
      <c r="H31" s="4"/>
    </row>
    <row r="32" spans="1:15">
      <c r="A32" s="4" t="s">
        <v>319</v>
      </c>
      <c r="B32" s="4">
        <f>'Profit Loss'!F23</f>
        <v>13.89</v>
      </c>
      <c r="C32" s="4">
        <f>'Profit Loss'!G23</f>
        <v>15.456184466019421</v>
      </c>
      <c r="D32" s="4">
        <f>'Profit Loss'!H23</f>
        <v>17.731402077613296</v>
      </c>
      <c r="E32" s="4">
        <f>'Profit Loss'!I23</f>
        <v>19.956159865919258</v>
      </c>
      <c r="F32" s="4">
        <f>'Profit Loss'!J23</f>
        <v>22.241379176149984</v>
      </c>
      <c r="G32" s="4">
        <f>'Profit Loss'!K23</f>
        <v>24.54713844553876</v>
      </c>
      <c r="H32" s="4"/>
    </row>
    <row r="33" spans="1:8">
      <c r="A33" s="4" t="s">
        <v>539</v>
      </c>
      <c r="B33" s="203">
        <f>'Profit Loss'!F26</f>
        <v>0.55320055383959954</v>
      </c>
      <c r="C33" s="203">
        <f>'Profit Loss'!G26</f>
        <v>0.55000000000000004</v>
      </c>
      <c r="D33" s="203">
        <f>'Profit Loss'!H26</f>
        <v>0.55999999999999994</v>
      </c>
      <c r="E33" s="203">
        <f>'Profit Loss'!I26</f>
        <v>0.56499999999999995</v>
      </c>
      <c r="F33" s="203">
        <f>'Profit Loss'!J26</f>
        <v>0.57000000000000006</v>
      </c>
      <c r="G33" s="203">
        <f>'Profit Loss'!K26</f>
        <v>0.57499999999999996</v>
      </c>
      <c r="H33" s="4"/>
    </row>
    <row r="34" spans="1:8">
      <c r="A34" s="4"/>
      <c r="B34" s="4"/>
      <c r="C34" s="4"/>
      <c r="D34" s="4"/>
      <c r="E34" s="4"/>
      <c r="F34" s="4"/>
      <c r="G34" s="4"/>
      <c r="H34" s="4"/>
    </row>
    <row r="35" spans="1:8" ht="13">
      <c r="A35" s="164" t="s">
        <v>540</v>
      </c>
      <c r="B35" s="4"/>
      <c r="C35" s="4"/>
      <c r="D35" s="4"/>
      <c r="E35" s="4"/>
      <c r="F35" s="4"/>
      <c r="G35" s="4"/>
      <c r="H35" s="4"/>
    </row>
    <row r="36" spans="1:8" ht="13">
      <c r="A36" s="164" t="s">
        <v>584</v>
      </c>
      <c r="B36" s="4"/>
      <c r="C36" s="4"/>
      <c r="D36" s="4"/>
      <c r="E36" s="4"/>
      <c r="F36" s="4"/>
      <c r="G36" s="4"/>
      <c r="H36" s="4"/>
    </row>
    <row r="37" spans="1:8">
      <c r="A37" s="4" t="s">
        <v>541</v>
      </c>
      <c r="B37" s="203">
        <f>'CAGR Projections'!G4</f>
        <v>0.16481027951126981</v>
      </c>
      <c r="C37" s="4"/>
      <c r="D37" s="4"/>
      <c r="E37" s="4"/>
      <c r="F37" s="4"/>
      <c r="G37" s="4"/>
      <c r="H37" s="4"/>
    </row>
    <row r="38" spans="1:8">
      <c r="A38" s="4" t="s">
        <v>542</v>
      </c>
      <c r="B38" s="203">
        <f>'CAGR Projections'!G7</f>
        <v>0.21419038379049193</v>
      </c>
      <c r="C38" s="4"/>
      <c r="D38" s="4"/>
      <c r="E38" s="4"/>
      <c r="F38" s="4"/>
      <c r="G38" s="4"/>
      <c r="H38" s="4"/>
    </row>
    <row r="39" spans="1:8">
      <c r="A39" s="4" t="s">
        <v>549</v>
      </c>
      <c r="B39" s="203">
        <f>AVERAGE(Ratios!C13:G13)</f>
        <v>1.4616260837895618</v>
      </c>
      <c r="C39" s="4"/>
      <c r="D39" s="4"/>
      <c r="E39" s="4"/>
      <c r="F39" s="4"/>
      <c r="G39" s="4"/>
      <c r="H39" s="4"/>
    </row>
    <row r="40" spans="1:8">
      <c r="A40" s="4" t="s">
        <v>550</v>
      </c>
      <c r="B40" s="203">
        <f>AVERAGE(Ratios!C41:G41)</f>
        <v>0.54497449207231408</v>
      </c>
      <c r="C40" s="4"/>
      <c r="D40" s="4"/>
      <c r="E40" s="4"/>
      <c r="F40" s="4"/>
      <c r="G40" s="4"/>
      <c r="H40" s="4"/>
    </row>
    <row r="41" spans="1:8">
      <c r="A41" s="4"/>
      <c r="B41" s="4"/>
      <c r="C41" s="4"/>
      <c r="D41" s="4"/>
      <c r="E41" s="4"/>
      <c r="F41" s="4"/>
      <c r="G41" s="4"/>
      <c r="H41" s="4"/>
    </row>
    <row r="42" spans="1:8" ht="13">
      <c r="A42" s="164" t="s">
        <v>955</v>
      </c>
      <c r="B42" s="4"/>
      <c r="C42" s="4"/>
      <c r="D42" s="4"/>
      <c r="E42" s="4"/>
      <c r="F42" s="4"/>
      <c r="G42" s="4"/>
      <c r="H42" s="4"/>
    </row>
    <row r="43" spans="1:8" ht="13">
      <c r="A43" s="164" t="s">
        <v>486</v>
      </c>
      <c r="B43" s="164" t="s">
        <v>954</v>
      </c>
      <c r="C43" s="164" t="s">
        <v>981</v>
      </c>
      <c r="D43" s="164" t="s">
        <v>982</v>
      </c>
      <c r="E43" s="4"/>
      <c r="F43" s="4"/>
      <c r="G43" s="4"/>
      <c r="H43" s="4"/>
    </row>
    <row r="44" spans="1:8">
      <c r="A44" s="4" t="s">
        <v>219</v>
      </c>
      <c r="B44" s="194">
        <f>'DDM FCFF Relative Valuation'!B106</f>
        <v>338.00513943437772</v>
      </c>
      <c r="C44" s="202">
        <v>0.25</v>
      </c>
      <c r="D44" s="4">
        <f>B44*C44</f>
        <v>84.501284858594431</v>
      </c>
      <c r="E44" s="4"/>
      <c r="F44" s="4"/>
      <c r="G44" s="4"/>
      <c r="H44" s="4"/>
    </row>
    <row r="45" spans="1:8">
      <c r="A45" s="4" t="s">
        <v>487</v>
      </c>
      <c r="B45" s="4">
        <f>'DDM FCFF Relative Valuation'!B15</f>
        <v>66.395913835178121</v>
      </c>
      <c r="C45" s="202">
        <v>0.05</v>
      </c>
      <c r="D45" s="4">
        <f>B45*C45</f>
        <v>3.3197956917589062</v>
      </c>
      <c r="E45" s="4"/>
      <c r="F45" s="4"/>
      <c r="G45" s="4"/>
      <c r="H45" s="4"/>
    </row>
    <row r="46" spans="1:8">
      <c r="A46" s="4" t="s">
        <v>276</v>
      </c>
      <c r="B46" s="194">
        <f>'DDM FCFF Relative Valuation'!E39</f>
        <v>358.78183783783783</v>
      </c>
      <c r="C46" s="202">
        <v>0.4</v>
      </c>
      <c r="D46" s="4">
        <f>B46*C46</f>
        <v>143.51273513513513</v>
      </c>
      <c r="E46" s="4"/>
      <c r="F46" s="4"/>
      <c r="G46" s="4"/>
      <c r="H46" s="4"/>
    </row>
    <row r="47" spans="1:8">
      <c r="A47" s="4" t="s">
        <v>951</v>
      </c>
      <c r="B47" s="4">
        <f>'DCF Valuation'!B36</f>
        <v>367.15632990818818</v>
      </c>
      <c r="C47" s="202">
        <v>0.4</v>
      </c>
      <c r="D47" s="4">
        <f>B47*C47</f>
        <v>146.86253196327527</v>
      </c>
      <c r="E47" s="4"/>
      <c r="F47" s="4"/>
      <c r="G47" s="4"/>
      <c r="H47" s="4"/>
    </row>
    <row r="48" spans="1:8">
      <c r="A48" s="4" t="s">
        <v>983</v>
      </c>
      <c r="B48" s="4"/>
      <c r="C48" s="4"/>
      <c r="D48" s="4">
        <f>SUM(D44:D47)</f>
        <v>378.19634764876378</v>
      </c>
      <c r="E48" s="4"/>
      <c r="F48" s="4"/>
      <c r="G48" s="4"/>
      <c r="H48" s="4"/>
    </row>
    <row r="49" spans="1:8">
      <c r="A49" s="4" t="s">
        <v>548</v>
      </c>
      <c r="B49" s="4"/>
      <c r="C49" s="4"/>
      <c r="D49" s="4" t="str">
        <f>IF(B54&gt;=0.15,"BUY",IF(B54&lt;=-0.1,"SELL","HOLD"))</f>
        <v>SELL</v>
      </c>
      <c r="E49" s="4"/>
      <c r="F49" s="4"/>
      <c r="G49" s="4"/>
      <c r="H49" s="4"/>
    </row>
    <row r="50" spans="1:8">
      <c r="A50" s="4"/>
      <c r="B50" s="4"/>
      <c r="C50" s="4"/>
      <c r="D50" s="4"/>
      <c r="E50" s="4"/>
      <c r="F50" s="4"/>
      <c r="G50" s="4"/>
      <c r="H50" s="4"/>
    </row>
    <row r="51" spans="1:8" ht="13">
      <c r="A51" s="164" t="s">
        <v>545</v>
      </c>
      <c r="B51" s="4"/>
      <c r="C51" s="4"/>
      <c r="D51" s="4"/>
      <c r="E51" s="4"/>
      <c r="F51" s="4"/>
      <c r="G51" s="4"/>
      <c r="H51" s="4"/>
    </row>
    <row r="52" spans="1:8">
      <c r="A52" s="4" t="s">
        <v>546</v>
      </c>
      <c r="B52" s="4">
        <v>450</v>
      </c>
      <c r="C52" s="4"/>
      <c r="D52" s="4"/>
      <c r="E52" s="4"/>
      <c r="F52" s="4"/>
      <c r="G52" s="4"/>
      <c r="H52" s="4"/>
    </row>
    <row r="53" spans="1:8">
      <c r="A53" s="4" t="s">
        <v>954</v>
      </c>
      <c r="B53" s="4">
        <f>D48</f>
        <v>378.19634764876378</v>
      </c>
      <c r="C53" s="4"/>
      <c r="D53" s="4"/>
      <c r="E53" s="4"/>
      <c r="F53" s="4"/>
      <c r="G53" s="4"/>
      <c r="H53" s="4"/>
    </row>
    <row r="54" spans="1:8">
      <c r="A54" s="4" t="s">
        <v>547</v>
      </c>
      <c r="B54" s="203">
        <f>(B53-B52)/B52</f>
        <v>-0.15956367189163606</v>
      </c>
      <c r="C54" s="4"/>
      <c r="D54" s="4"/>
      <c r="E54" s="4"/>
      <c r="F54" s="4"/>
      <c r="G54" s="4"/>
      <c r="H54" s="4"/>
    </row>
    <row r="55" spans="1:8">
      <c r="A55" s="4" t="s">
        <v>548</v>
      </c>
      <c r="B55" s="4" t="str">
        <f>D49</f>
        <v>SELL</v>
      </c>
      <c r="C55" s="4"/>
      <c r="D55" s="4"/>
      <c r="E55" s="4"/>
      <c r="F55" s="4"/>
      <c r="G55" s="4"/>
      <c r="H55" s="4"/>
    </row>
    <row r="56" spans="1:8">
      <c r="A56" s="4"/>
      <c r="B56" s="4"/>
      <c r="C56" s="4"/>
      <c r="D56" s="4"/>
      <c r="E56" s="4"/>
      <c r="F56" s="4"/>
      <c r="G56" s="4"/>
      <c r="H56" s="4"/>
    </row>
    <row r="57" spans="1:8" ht="13">
      <c r="A57" s="164" t="s">
        <v>572</v>
      </c>
      <c r="B57" s="4"/>
      <c r="C57" s="4"/>
      <c r="D57" s="4"/>
      <c r="E57" s="4"/>
      <c r="F57" s="4"/>
      <c r="G57" s="4"/>
      <c r="H57" s="4"/>
    </row>
    <row r="58" spans="1:8" ht="14">
      <c r="A58" s="214" t="s">
        <v>1088</v>
      </c>
      <c r="B58" s="164" t="s">
        <v>585</v>
      </c>
      <c r="C58" s="4"/>
      <c r="D58" s="4"/>
      <c r="E58" s="4"/>
      <c r="F58" s="4"/>
      <c r="G58" s="4"/>
      <c r="H58" s="4"/>
    </row>
    <row r="59" spans="1:8" ht="14">
      <c r="A59" s="214" t="s">
        <v>573</v>
      </c>
      <c r="B59" s="164" t="s">
        <v>585</v>
      </c>
      <c r="C59" s="4"/>
      <c r="D59" s="4"/>
      <c r="E59" s="4"/>
      <c r="F59" s="4"/>
      <c r="G59" s="4"/>
      <c r="H59" s="4"/>
    </row>
    <row r="60" spans="1:8" ht="14">
      <c r="A60" s="214" t="s">
        <v>574</v>
      </c>
      <c r="B60" s="164" t="s">
        <v>585</v>
      </c>
      <c r="C60" s="4"/>
      <c r="D60" s="4"/>
      <c r="E60" s="4"/>
      <c r="F60" s="4"/>
      <c r="G60" s="4"/>
      <c r="H60" s="4"/>
    </row>
    <row r="61" spans="1:8" ht="14">
      <c r="A61" s="214" t="s">
        <v>575</v>
      </c>
      <c r="B61" s="164" t="s">
        <v>585</v>
      </c>
      <c r="C61" s="4"/>
      <c r="D61" s="4"/>
      <c r="E61" s="4"/>
      <c r="F61" s="4"/>
      <c r="G61" s="4"/>
      <c r="H61" s="4"/>
    </row>
    <row r="62" spans="1:8" ht="14">
      <c r="A62" s="214" t="s">
        <v>586</v>
      </c>
      <c r="B62" s="164" t="s">
        <v>585</v>
      </c>
      <c r="C62" s="4"/>
      <c r="D62" s="4"/>
      <c r="E62" s="4"/>
      <c r="F62" s="4"/>
      <c r="G62" s="4"/>
      <c r="H62" s="4"/>
    </row>
    <row r="63" spans="1:8" ht="14">
      <c r="A63" s="214" t="s">
        <v>576</v>
      </c>
      <c r="B63" s="164" t="s">
        <v>585</v>
      </c>
      <c r="C63" s="4"/>
      <c r="D63" s="4"/>
      <c r="E63" s="4"/>
      <c r="F63" s="4"/>
      <c r="G63" s="4"/>
      <c r="H63" s="4"/>
    </row>
    <row r="64" spans="1:8" ht="14">
      <c r="A64" s="214" t="s">
        <v>577</v>
      </c>
      <c r="B64" s="164" t="s">
        <v>585</v>
      </c>
      <c r="C64" s="4"/>
      <c r="D64" s="4"/>
      <c r="E64" s="4"/>
      <c r="F64" s="4"/>
      <c r="G64" s="4"/>
      <c r="H64" s="4"/>
    </row>
    <row r="65" spans="1:8" ht="14">
      <c r="A65" s="214" t="s">
        <v>578</v>
      </c>
      <c r="B65" s="164" t="s">
        <v>585</v>
      </c>
      <c r="C65" s="4"/>
      <c r="D65" s="4"/>
      <c r="E65" s="4"/>
      <c r="F65" s="4"/>
      <c r="G65" s="4"/>
      <c r="H65" s="4"/>
    </row>
    <row r="66" spans="1:8" ht="14">
      <c r="A66" s="214" t="s">
        <v>579</v>
      </c>
      <c r="B66" s="164" t="s">
        <v>585</v>
      </c>
      <c r="C66" s="4"/>
      <c r="D66" s="4"/>
      <c r="E66" s="4"/>
      <c r="F66" s="4"/>
      <c r="G66" s="4"/>
      <c r="H66" s="4"/>
    </row>
    <row r="67" spans="1:8" ht="14">
      <c r="A67" s="214" t="s">
        <v>921</v>
      </c>
      <c r="B67" s="164" t="s">
        <v>585</v>
      </c>
      <c r="C67" s="4"/>
      <c r="D67" s="4"/>
      <c r="E67" s="4"/>
      <c r="F67" s="4"/>
      <c r="G67" s="4"/>
      <c r="H67" s="4"/>
    </row>
    <row r="68" spans="1:8" ht="14">
      <c r="A68" s="214" t="s">
        <v>922</v>
      </c>
      <c r="B68" s="164" t="s">
        <v>585</v>
      </c>
      <c r="C68" s="4"/>
      <c r="D68" s="4"/>
      <c r="E68" s="4"/>
      <c r="F68" s="4"/>
      <c r="G68" s="4"/>
      <c r="H68" s="4"/>
    </row>
    <row r="69" spans="1:8" ht="14">
      <c r="A69" s="214" t="s">
        <v>580</v>
      </c>
      <c r="B69" s="164" t="s">
        <v>585</v>
      </c>
      <c r="C69" s="4"/>
      <c r="D69" s="4"/>
      <c r="E69" s="4"/>
      <c r="F69" s="4"/>
      <c r="G69" s="4"/>
      <c r="H69" s="4"/>
    </row>
    <row r="70" spans="1:8" ht="14">
      <c r="A70" s="214" t="s">
        <v>979</v>
      </c>
      <c r="B70" s="164" t="s">
        <v>585</v>
      </c>
      <c r="C70" s="4"/>
      <c r="D70" s="4"/>
      <c r="E70" s="4"/>
      <c r="F70" s="4"/>
      <c r="G70" s="4"/>
      <c r="H70" s="4"/>
    </row>
    <row r="71" spans="1:8" ht="14">
      <c r="A71" s="214" t="s">
        <v>581</v>
      </c>
      <c r="B71" s="164" t="s">
        <v>585</v>
      </c>
      <c r="C71" s="4"/>
      <c r="D71" s="4"/>
      <c r="E71" s="4"/>
      <c r="F71" s="4"/>
      <c r="G71" s="4"/>
      <c r="H71" s="4"/>
    </row>
    <row r="72" spans="1:8" ht="14">
      <c r="A72" s="214" t="s">
        <v>582</v>
      </c>
      <c r="B72" s="164" t="s">
        <v>585</v>
      </c>
      <c r="C72" s="4"/>
      <c r="D72" s="4"/>
      <c r="E72" s="4"/>
      <c r="F72" s="4"/>
      <c r="G72" s="4"/>
      <c r="H72" s="4"/>
    </row>
    <row r="73" spans="1:8" ht="14">
      <c r="A73" s="214" t="s">
        <v>583</v>
      </c>
      <c r="B73" s="164" t="s">
        <v>585</v>
      </c>
      <c r="C73" s="4"/>
      <c r="D73" s="4"/>
      <c r="E73" s="4"/>
      <c r="F73" s="4"/>
      <c r="G73" s="4"/>
      <c r="H73" s="4"/>
    </row>
    <row r="74" spans="1:8" ht="14">
      <c r="A74" s="214" t="s">
        <v>952</v>
      </c>
      <c r="B74" s="164" t="s">
        <v>585</v>
      </c>
      <c r="C74" s="4"/>
      <c r="D74" s="4"/>
      <c r="E74" s="4"/>
      <c r="F74" s="4"/>
      <c r="G74" s="4"/>
      <c r="H74" s="4"/>
    </row>
    <row r="75" spans="1:8" ht="14">
      <c r="A75" s="214" t="s">
        <v>953</v>
      </c>
      <c r="B75" s="164" t="s">
        <v>585</v>
      </c>
      <c r="C75" s="4"/>
      <c r="D75" s="4"/>
      <c r="E75" s="4"/>
      <c r="F75" s="4"/>
      <c r="G75" s="4"/>
      <c r="H75" s="4"/>
    </row>
    <row r="76" spans="1:8" ht="14">
      <c r="A76" s="214" t="s">
        <v>1086</v>
      </c>
      <c r="B76" s="164" t="s">
        <v>585</v>
      </c>
      <c r="C76" s="4"/>
      <c r="D76" s="4"/>
      <c r="E76" s="4"/>
      <c r="F76" s="4"/>
      <c r="G76" s="4"/>
      <c r="H76" s="4"/>
    </row>
    <row r="77" spans="1:8" ht="14">
      <c r="A77" s="214" t="s">
        <v>1087</v>
      </c>
      <c r="B77" s="164" t="s">
        <v>585</v>
      </c>
      <c r="C77" s="4"/>
      <c r="D77" s="4"/>
      <c r="E77" s="4"/>
      <c r="F77" s="4"/>
      <c r="G77" s="4"/>
      <c r="H77" s="4"/>
    </row>
  </sheetData>
  <hyperlinks>
    <hyperlink ref="A72" location="'Credit Ratio'!A1" display="16.Credit Ratio" xr:uid="{192D915C-CAB5-4763-92BD-472A38469006}"/>
    <hyperlink ref="A71" location="Competition!A1" display="15.Competiton" xr:uid="{D7C27E9F-425F-4AC5-A6AD-569F4E521B0A}"/>
    <hyperlink ref="A70" location="'DDM FCFF Relative Valuation'!A1" display="14.DDM FCFF FCFE Relative Valuation" xr:uid="{8DC74BF2-F8B8-4BF6-9E87-C32D35D76D7F}"/>
    <hyperlink ref="A68" location="Beta!A1" display="12.Beta Calculation" xr:uid="{E9625B0E-9FD8-480D-ACBD-DCCEC59E9A91}"/>
    <hyperlink ref="A67" location="Ind_Cashflow!A1" display="11.Industry Cash Flow" xr:uid="{70C7DB49-3F5E-42A6-AB32-24E3C99164D2}"/>
    <hyperlink ref="A66" location="Ind_bala!A1" display="10.Industry Balance Sheet" xr:uid="{FCBDDA64-1782-4D9A-B68F-3B2034D16AFF}"/>
    <hyperlink ref="A65" location="'Ind_P&amp;L'!A1" display="9.Industry Income Statement" xr:uid="{5BD69FEE-4F0E-4A62-8DFE-3F93A2D54A67}"/>
    <hyperlink ref="A64" location="'Ind dump'!A1" display="7.Data Industry" xr:uid="{F08A735B-8229-46FA-B57B-1032C182385A}"/>
    <hyperlink ref="A63" location="'Common Size'!A1" display="6.Common Size" xr:uid="{107F530F-377B-42D5-A13D-B07126B87C9A}"/>
    <hyperlink ref="A62" location="'Cash Flow'!A1" display="5.Cash Flow Projections" xr:uid="{7C3860DA-E9F7-4CBC-900E-F75D050E14C9}"/>
    <hyperlink ref="A61" location="Balance_Sheet!A1" display="4.Balance Sheet Projections" xr:uid="{F733428D-0F1E-47CA-A4EA-EE00135DA5F9}"/>
    <hyperlink ref="A60" location="'Profit Loss'!A1" display="3.Income Statement Projections" xr:uid="{AC7D3BA7-AD64-41BC-BFCD-FA71D20A1CA5}"/>
    <hyperlink ref="A59" location="'Ind dump'!A1" display="2.Data Balance" xr:uid="{AFC8C79B-6C61-4F8F-B454-C860C87466DF}"/>
    <hyperlink ref="A58" location="'Ind dump'!A1" display="1. Data Income" xr:uid="{FC12BA58-A232-4041-B0F2-8293CC230917}"/>
    <hyperlink ref="A69" location="Regression!A1" display="13.Regression" xr:uid="{A7453750-07D4-4481-BD99-15FAE822B153}"/>
    <hyperlink ref="A73" location="Ratios!A1" display="17. Ratio" xr:uid="{91FE0486-76A8-4993-8A2D-2005D787ECBC}"/>
    <hyperlink ref="A74" location="'DCF Valuation'!A1" display="18.DCF Valuation" xr:uid="{038D1EC8-44C8-4EB4-B431-740B332659EF}"/>
    <hyperlink ref="A75" location="WACC!A1" display="19.WACC Calculation" xr:uid="{05436268-7136-4DD3-8E37-B79919B251DE}"/>
    <hyperlink ref="A77" location="'Project Report'!A1" display="20.Project Report" xr:uid="{CCF28437-01EF-42CF-9552-C16358D9A512}"/>
    <hyperlink ref="A76" location="'CAGR Projections'!A1" display="20.CAGR Projections" xr:uid="{29506C5B-AC25-4EB9-B2F8-12FA84625D4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302D5-98D7-429F-9E31-D1F2BD4D9BD4}">
  <dimension ref="A1:H41"/>
  <sheetViews>
    <sheetView zoomScale="90" zoomScaleNormal="90" workbookViewId="0"/>
  </sheetViews>
  <sheetFormatPr defaultRowHeight="14"/>
  <cols>
    <col min="1" max="1" width="34.75" customWidth="1"/>
    <col min="2" max="2" width="12.75" customWidth="1"/>
    <col min="3" max="3" width="11.25" customWidth="1"/>
    <col min="4" max="4" width="22.83203125" customWidth="1"/>
    <col min="5" max="5" width="33.4140625" customWidth="1"/>
    <col min="6" max="6" width="19.4140625" customWidth="1"/>
  </cols>
  <sheetData>
    <row r="1" spans="1:8" ht="18" customHeight="1">
      <c r="A1" s="74" t="s">
        <v>262</v>
      </c>
      <c r="B1" s="49"/>
      <c r="C1" s="5"/>
      <c r="D1" s="5" t="s">
        <v>154</v>
      </c>
      <c r="E1" s="6"/>
      <c r="F1" s="6"/>
      <c r="G1" s="6"/>
      <c r="H1" s="6"/>
    </row>
    <row r="2" spans="1:8" ht="18" customHeight="1">
      <c r="A2" s="134" t="s">
        <v>129</v>
      </c>
      <c r="B2" s="135" t="s">
        <v>112</v>
      </c>
      <c r="C2" s="136"/>
      <c r="D2" s="47" t="s">
        <v>129</v>
      </c>
      <c r="E2" s="47" t="s">
        <v>112</v>
      </c>
      <c r="F2" s="47" t="s">
        <v>148</v>
      </c>
      <c r="G2" s="6"/>
      <c r="H2" s="6"/>
    </row>
    <row r="3" spans="1:8" ht="16" customHeight="1">
      <c r="A3" s="137" t="s">
        <v>135</v>
      </c>
      <c r="B3" s="138">
        <v>0.15</v>
      </c>
      <c r="C3" s="6"/>
      <c r="D3" s="38" t="s">
        <v>149</v>
      </c>
      <c r="E3" s="49">
        <v>0.1</v>
      </c>
      <c r="F3" s="38" t="s">
        <v>150</v>
      </c>
      <c r="G3" s="6"/>
      <c r="H3" s="6"/>
    </row>
    <row r="4" spans="1:8" ht="18.649999999999999" customHeight="1">
      <c r="A4" s="139" t="s">
        <v>146</v>
      </c>
      <c r="B4" s="140">
        <v>1.17E-2</v>
      </c>
      <c r="C4" s="136"/>
      <c r="D4" s="38" t="s">
        <v>114</v>
      </c>
      <c r="E4" s="49">
        <v>0.16</v>
      </c>
      <c r="F4" s="38" t="s">
        <v>151</v>
      </c>
      <c r="G4" s="6"/>
      <c r="H4" s="6"/>
    </row>
    <row r="5" spans="1:8" ht="20.149999999999999" customHeight="1">
      <c r="A5" s="137" t="s">
        <v>136</v>
      </c>
      <c r="B5" s="141">
        <v>0.13400000000000001</v>
      </c>
      <c r="C5" s="136"/>
      <c r="D5" s="38" t="s">
        <v>152</v>
      </c>
      <c r="E5" s="49">
        <v>0.45</v>
      </c>
      <c r="F5" s="38" t="s">
        <v>153</v>
      </c>
      <c r="G5" s="6"/>
      <c r="H5" s="6"/>
    </row>
    <row r="6" spans="1:8" ht="16" customHeight="1">
      <c r="A6" s="139" t="s">
        <v>137</v>
      </c>
      <c r="B6" s="140">
        <v>0.106</v>
      </c>
      <c r="C6" s="136"/>
      <c r="D6" s="6"/>
      <c r="E6" s="6"/>
      <c r="F6" s="6"/>
      <c r="G6" s="6"/>
      <c r="H6" s="6"/>
    </row>
    <row r="7" spans="1:8" ht="17.5" customHeight="1">
      <c r="A7" s="137" t="s">
        <v>138</v>
      </c>
      <c r="B7" s="138">
        <v>0.04</v>
      </c>
      <c r="C7" s="6"/>
      <c r="D7" s="6"/>
      <c r="E7" s="142" t="s">
        <v>147</v>
      </c>
      <c r="F7" s="143" t="s">
        <v>112</v>
      </c>
      <c r="G7" s="6"/>
      <c r="H7" s="6"/>
    </row>
    <row r="8" spans="1:8" ht="17.5" customHeight="1">
      <c r="A8" s="139" t="s">
        <v>139</v>
      </c>
      <c r="B8" s="144">
        <v>0.03</v>
      </c>
      <c r="C8" s="6"/>
      <c r="D8" s="6"/>
      <c r="E8" s="145" t="s">
        <v>141</v>
      </c>
      <c r="F8" s="146">
        <v>0.3</v>
      </c>
      <c r="G8" s="6"/>
      <c r="H8" s="6"/>
    </row>
    <row r="9" spans="1:8">
      <c r="A9" s="137" t="s">
        <v>140</v>
      </c>
      <c r="B9" s="141">
        <v>0.36899999999999999</v>
      </c>
      <c r="C9" s="136"/>
      <c r="D9" s="6"/>
      <c r="E9" s="147" t="s">
        <v>116</v>
      </c>
      <c r="F9" s="148">
        <v>0.02</v>
      </c>
      <c r="G9" s="6"/>
      <c r="H9" s="6"/>
    </row>
    <row r="10" spans="1:8">
      <c r="A10" s="6"/>
      <c r="B10" s="6"/>
      <c r="C10" s="136"/>
      <c r="D10" s="6"/>
      <c r="E10" s="6"/>
      <c r="F10" s="6"/>
      <c r="G10" s="6"/>
      <c r="H10" s="6"/>
    </row>
    <row r="11" spans="1:8">
      <c r="A11" s="6"/>
      <c r="B11" s="6"/>
      <c r="C11" s="136"/>
      <c r="D11" s="136" t="s">
        <v>914</v>
      </c>
      <c r="E11" s="136" t="s">
        <v>915</v>
      </c>
      <c r="F11" s="136"/>
      <c r="G11" s="6"/>
      <c r="H11" s="6"/>
    </row>
    <row r="12" spans="1:8" ht="18.75" customHeight="1">
      <c r="A12" s="5" t="s">
        <v>263</v>
      </c>
      <c r="B12" s="6"/>
      <c r="C12" s="6"/>
      <c r="D12" s="6" t="s">
        <v>455</v>
      </c>
      <c r="E12" s="6" t="s">
        <v>916</v>
      </c>
      <c r="F12" s="6"/>
      <c r="G12" s="6"/>
      <c r="H12" s="6"/>
    </row>
    <row r="13" spans="1:8" ht="14.5" thickBot="1">
      <c r="A13" s="149" t="s">
        <v>129</v>
      </c>
      <c r="B13" s="150" t="s">
        <v>112</v>
      </c>
      <c r="C13" s="6"/>
      <c r="D13" s="6">
        <v>2025</v>
      </c>
      <c r="E13" s="42">
        <v>0.45</v>
      </c>
      <c r="F13" s="6"/>
      <c r="G13" s="6"/>
      <c r="H13" s="6"/>
    </row>
    <row r="14" spans="1:8" ht="14.5" thickTop="1">
      <c r="A14" s="151" t="s">
        <v>130</v>
      </c>
      <c r="B14" s="152">
        <v>0.11</v>
      </c>
      <c r="C14" s="6"/>
      <c r="D14" s="6">
        <v>2026</v>
      </c>
      <c r="E14" s="42">
        <v>0.44</v>
      </c>
      <c r="F14" s="6"/>
      <c r="G14" s="6"/>
      <c r="H14" s="6"/>
    </row>
    <row r="15" spans="1:8">
      <c r="A15" s="153" t="s">
        <v>131</v>
      </c>
      <c r="B15" s="154">
        <v>0.1</v>
      </c>
      <c r="C15" s="6"/>
      <c r="D15" s="6">
        <v>2027</v>
      </c>
      <c r="E15" s="41">
        <v>0.435</v>
      </c>
      <c r="F15" s="6"/>
      <c r="G15" s="6"/>
      <c r="H15" s="6"/>
    </row>
    <row r="16" spans="1:8">
      <c r="A16" s="151" t="s">
        <v>132</v>
      </c>
      <c r="B16" s="152">
        <v>0.09</v>
      </c>
      <c r="C16" s="6"/>
      <c r="D16" s="6">
        <v>2028</v>
      </c>
      <c r="E16" s="42">
        <v>0.43</v>
      </c>
      <c r="F16" s="6"/>
      <c r="G16" s="6"/>
      <c r="H16" s="6"/>
    </row>
    <row r="17" spans="1:8">
      <c r="A17" s="153" t="s">
        <v>133</v>
      </c>
      <c r="B17" s="154">
        <v>0.08</v>
      </c>
      <c r="C17" s="6"/>
      <c r="D17" s="6">
        <v>2029</v>
      </c>
      <c r="E17" s="41">
        <v>0.42499999999999999</v>
      </c>
      <c r="F17" s="6"/>
      <c r="G17" s="6"/>
      <c r="H17" s="6"/>
    </row>
    <row r="18" spans="1:8">
      <c r="A18" s="151" t="s">
        <v>134</v>
      </c>
      <c r="B18" s="152">
        <v>7.0000000000000007E-2</v>
      </c>
      <c r="C18" s="6"/>
      <c r="D18" s="6"/>
      <c r="E18" s="6"/>
      <c r="F18" s="6"/>
      <c r="G18" s="6"/>
      <c r="H18" s="6"/>
    </row>
    <row r="19" spans="1:8">
      <c r="A19" s="153" t="s">
        <v>115</v>
      </c>
      <c r="B19" s="154">
        <v>0.45</v>
      </c>
      <c r="C19" s="6"/>
      <c r="D19" s="6"/>
      <c r="E19" s="6"/>
      <c r="F19" s="6"/>
      <c r="G19" s="6"/>
      <c r="H19" s="6"/>
    </row>
    <row r="20" spans="1:8">
      <c r="A20" s="151" t="s">
        <v>113</v>
      </c>
      <c r="B20" s="152">
        <v>-0.01</v>
      </c>
      <c r="C20" s="6"/>
      <c r="D20" s="6"/>
      <c r="E20" s="6"/>
      <c r="F20" s="6"/>
      <c r="G20" s="6"/>
      <c r="H20" s="6"/>
    </row>
    <row r="21" spans="1:8">
      <c r="A21" s="153" t="s">
        <v>114</v>
      </c>
      <c r="B21" s="154">
        <v>0.16</v>
      </c>
      <c r="C21" s="6"/>
      <c r="D21" s="6"/>
      <c r="E21" s="6"/>
      <c r="F21" s="6"/>
      <c r="G21" s="6"/>
      <c r="H21" s="6"/>
    </row>
    <row r="22" spans="1:8">
      <c r="A22" s="174" t="s">
        <v>913</v>
      </c>
      <c r="B22" s="175">
        <v>4.4999999999999998E-2</v>
      </c>
    </row>
    <row r="24" spans="1:8">
      <c r="A24" s="160" t="s">
        <v>129</v>
      </c>
      <c r="B24" s="160" t="s">
        <v>112</v>
      </c>
    </row>
    <row r="25" spans="1:8">
      <c r="A25" t="s">
        <v>541</v>
      </c>
      <c r="B25" s="168">
        <v>0.15</v>
      </c>
    </row>
    <row r="26" spans="1:8">
      <c r="A26" t="s">
        <v>897</v>
      </c>
      <c r="B26" s="168">
        <v>0.35</v>
      </c>
    </row>
    <row r="27" spans="1:8">
      <c r="A27" t="s">
        <v>903</v>
      </c>
      <c r="B27" s="168">
        <v>0.03</v>
      </c>
    </row>
    <row r="28" spans="1:8">
      <c r="A28" t="s">
        <v>898</v>
      </c>
      <c r="B28" s="168">
        <v>0.03</v>
      </c>
    </row>
    <row r="29" spans="1:8">
      <c r="A29" t="s">
        <v>899</v>
      </c>
      <c r="B29" s="168">
        <v>0.05</v>
      </c>
    </row>
    <row r="30" spans="1:8">
      <c r="A30" t="s">
        <v>900</v>
      </c>
      <c r="B30" s="168">
        <v>0.04</v>
      </c>
    </row>
    <row r="31" spans="1:8">
      <c r="A31" t="s">
        <v>901</v>
      </c>
      <c r="B31" s="168">
        <v>0.03</v>
      </c>
    </row>
    <row r="32" spans="1:8">
      <c r="A32" t="s">
        <v>114</v>
      </c>
      <c r="B32" s="168">
        <v>0.16</v>
      </c>
    </row>
    <row r="33" spans="1:2">
      <c r="A33" t="s">
        <v>902</v>
      </c>
      <c r="B33" s="171">
        <v>0.04</v>
      </c>
    </row>
    <row r="35" spans="1:2">
      <c r="A35" t="s">
        <v>910</v>
      </c>
      <c r="B35" t="s">
        <v>112</v>
      </c>
    </row>
    <row r="36" spans="1:2">
      <c r="A36" t="s">
        <v>904</v>
      </c>
      <c r="B36" s="169">
        <v>1.17E-2</v>
      </c>
    </row>
    <row r="37" spans="1:2">
      <c r="A37" t="s">
        <v>905</v>
      </c>
      <c r="B37" s="170">
        <v>0.13400000000000001</v>
      </c>
    </row>
    <row r="38" spans="1:2">
      <c r="A38" t="s">
        <v>906</v>
      </c>
      <c r="B38" s="170">
        <v>0.08</v>
      </c>
    </row>
    <row r="39" spans="1:2">
      <c r="A39" t="s">
        <v>907</v>
      </c>
      <c r="B39" s="169">
        <v>3.3000000000000002E-2</v>
      </c>
    </row>
    <row r="40" spans="1:2">
      <c r="A40" t="s">
        <v>908</v>
      </c>
      <c r="B40" s="170">
        <v>0.36899999999999999</v>
      </c>
    </row>
    <row r="41" spans="1:2">
      <c r="A41" t="s">
        <v>909</v>
      </c>
      <c r="B41" s="168">
        <v>0.35349999999999998</v>
      </c>
    </row>
  </sheetData>
  <phoneticPr fontId="2" type="noConversion"/>
  <pageMargins left="0.7" right="0.7" top="0.75" bottom="0.75" header="0.3" footer="0.3"/>
  <drawing r:id="rId1"/>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FC1E6-44E7-412F-B496-1CEC5973A019}">
  <dimension ref="A1:C34"/>
  <sheetViews>
    <sheetView zoomScale="85" workbookViewId="0"/>
  </sheetViews>
  <sheetFormatPr defaultRowHeight="14"/>
  <cols>
    <col min="1" max="1" width="22.4140625" customWidth="1"/>
    <col min="2" max="2" width="16.25" customWidth="1"/>
    <col min="3" max="3" width="18.58203125" customWidth="1"/>
  </cols>
  <sheetData>
    <row r="1" spans="1:2">
      <c r="A1" t="s">
        <v>206</v>
      </c>
      <c r="B1" t="s">
        <v>464</v>
      </c>
    </row>
    <row r="2" spans="1:2">
      <c r="A2" s="195" t="s">
        <v>926</v>
      </c>
      <c r="B2" s="195" t="s">
        <v>927</v>
      </c>
    </row>
    <row r="3" spans="1:2">
      <c r="A3" s="195" t="s">
        <v>928</v>
      </c>
      <c r="B3" s="195"/>
    </row>
    <row r="4" spans="1:2">
      <c r="A4" s="195" t="s">
        <v>477</v>
      </c>
      <c r="B4" s="204">
        <f>Table43[[#This Row],[Column1]]</f>
        <v>4.4999999999999998E-2</v>
      </c>
    </row>
    <row r="5" spans="1:2">
      <c r="A5" s="195" t="s">
        <v>478</v>
      </c>
      <c r="B5" s="204">
        <f>Table43[[#This Row],[Column1]]</f>
        <v>0.1</v>
      </c>
    </row>
    <row r="6" spans="1:2">
      <c r="A6" s="195" t="s">
        <v>203</v>
      </c>
      <c r="B6" s="195" cm="1">
        <f t="array" ref="B6">Table23[Value]</f>
        <v>1.0378472999489652</v>
      </c>
    </row>
    <row r="7" spans="1:2">
      <c r="A7" s="195" t="s">
        <v>941</v>
      </c>
      <c r="B7" s="204">
        <f>B4+B6*(B5-B4)</f>
        <v>0.10208160149719309</v>
      </c>
    </row>
    <row r="8" spans="1:2">
      <c r="A8" s="195" t="s">
        <v>913</v>
      </c>
      <c r="B8" s="204"/>
    </row>
    <row r="9" spans="1:2">
      <c r="A9" s="195" t="s">
        <v>926</v>
      </c>
      <c r="B9" s="195" t="s">
        <v>927</v>
      </c>
    </row>
    <row r="10" spans="1:2">
      <c r="A10" s="195" t="s">
        <v>913</v>
      </c>
      <c r="B10" s="195"/>
    </row>
    <row r="11" spans="1:2">
      <c r="A11" s="195" t="s">
        <v>168</v>
      </c>
      <c r="B11" s="195">
        <v>820.17</v>
      </c>
    </row>
    <row r="12" spans="1:2">
      <c r="A12" s="195" t="s">
        <v>193</v>
      </c>
      <c r="B12" s="205">
        <f>Balance_Sheet!G28+Balance_Sheet!G25</f>
        <v>18226</v>
      </c>
    </row>
    <row r="13" spans="1:2">
      <c r="A13" s="195" t="s">
        <v>913</v>
      </c>
      <c r="B13" s="204">
        <f>B11/B12</f>
        <v>4.4999999999999998E-2</v>
      </c>
    </row>
    <row r="14" spans="1:2">
      <c r="A14" s="195" t="s">
        <v>926</v>
      </c>
      <c r="B14" s="195" t="s">
        <v>927</v>
      </c>
    </row>
    <row r="15" spans="1:2">
      <c r="A15" s="195" t="s">
        <v>942</v>
      </c>
      <c r="B15" s="195"/>
    </row>
    <row r="16" spans="1:2">
      <c r="A16" s="195" t="s">
        <v>395</v>
      </c>
      <c r="B16" s="195">
        <v>450</v>
      </c>
    </row>
    <row r="17" spans="1:3">
      <c r="A17" s="195" t="s">
        <v>943</v>
      </c>
      <c r="B17" s="206">
        <f>'Profit Loss'!K24</f>
        <v>837.93457863359993</v>
      </c>
    </row>
    <row r="18" spans="1:3">
      <c r="A18" s="195" t="s">
        <v>944</v>
      </c>
      <c r="B18" s="195">
        <f>B16*B17</f>
        <v>377070.56038511998</v>
      </c>
    </row>
    <row r="19" spans="1:3">
      <c r="A19" s="195" t="s">
        <v>193</v>
      </c>
      <c r="B19" s="205">
        <f>B12</f>
        <v>18226</v>
      </c>
    </row>
    <row r="20" spans="1:3">
      <c r="A20" s="195" t="s">
        <v>223</v>
      </c>
      <c r="B20" s="205">
        <f>B18+B19</f>
        <v>395296.56038511998</v>
      </c>
    </row>
    <row r="21" spans="1:3">
      <c r="A21" s="195" t="s">
        <v>945</v>
      </c>
      <c r="B21" s="195"/>
    </row>
    <row r="22" spans="1:3">
      <c r="A22" s="195" t="s">
        <v>926</v>
      </c>
      <c r="B22" s="195" t="s">
        <v>927</v>
      </c>
    </row>
    <row r="23" spans="1:3">
      <c r="A23" s="195" t="s">
        <v>929</v>
      </c>
      <c r="B23" s="204">
        <f>B18/B20</f>
        <v>0.95389284444508393</v>
      </c>
    </row>
    <row r="24" spans="1:3">
      <c r="A24" s="195" t="s">
        <v>930</v>
      </c>
      <c r="B24" s="204">
        <f>B19/B20</f>
        <v>4.6107155554916068E-2</v>
      </c>
    </row>
    <row r="25" spans="1:3">
      <c r="A25" s="195" t="s">
        <v>210</v>
      </c>
      <c r="B25" s="195"/>
    </row>
    <row r="26" spans="1:3">
      <c r="A26" s="195" t="s">
        <v>926</v>
      </c>
      <c r="B26" s="195" t="s">
        <v>927</v>
      </c>
    </row>
    <row r="27" spans="1:3">
      <c r="A27" s="195" t="s">
        <v>114</v>
      </c>
      <c r="B27" s="207">
        <f>'DCF Valuation'!B7</f>
        <v>0.16</v>
      </c>
    </row>
    <row r="28" spans="1:3">
      <c r="A28" s="195" t="s">
        <v>210</v>
      </c>
      <c r="B28" s="204">
        <f>(B23*B7)+(B24*B13*(1-B27))</f>
        <v>9.9117759697642874E-2</v>
      </c>
    </row>
    <row r="30" spans="1:3">
      <c r="A30" s="195" t="s">
        <v>946</v>
      </c>
      <c r="B30" s="195"/>
    </row>
    <row r="31" spans="1:3">
      <c r="A31" s="195" t="s">
        <v>476</v>
      </c>
      <c r="B31" s="195" t="s">
        <v>112</v>
      </c>
      <c r="C31" s="192" t="s">
        <v>947</v>
      </c>
    </row>
    <row r="32" spans="1:3">
      <c r="A32" s="195" t="s">
        <v>477</v>
      </c>
      <c r="B32" s="169">
        <v>4.2000000000000003E-2</v>
      </c>
      <c r="C32" s="192" t="s">
        <v>948</v>
      </c>
    </row>
    <row r="33" spans="1:3">
      <c r="A33" s="195" t="s">
        <v>478</v>
      </c>
      <c r="B33" s="169">
        <v>0.1</v>
      </c>
      <c r="C33" s="192" t="s">
        <v>949</v>
      </c>
    </row>
    <row r="34" spans="1:3">
      <c r="A34" s="195" t="s">
        <v>203</v>
      </c>
      <c r="B34">
        <v>1.03</v>
      </c>
      <c r="C34" s="192" t="s">
        <v>950</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2D4BF-9109-4DD0-9349-1CE25EBDB0A5}">
  <dimension ref="A1:M21"/>
  <sheetViews>
    <sheetView workbookViewId="0"/>
  </sheetViews>
  <sheetFormatPr defaultRowHeight="14"/>
  <cols>
    <col min="1" max="1" width="12.4140625" customWidth="1"/>
    <col min="2" max="2" width="10.08203125" customWidth="1"/>
    <col min="3" max="3" width="11.83203125" customWidth="1"/>
    <col min="4" max="4" width="9" customWidth="1"/>
    <col min="5" max="5" width="8.75" bestFit="1" customWidth="1"/>
    <col min="6" max="6" width="8.83203125" bestFit="1" customWidth="1"/>
    <col min="7" max="7" width="9.75" customWidth="1"/>
    <col min="8" max="12" width="11.25" bestFit="1" customWidth="1"/>
  </cols>
  <sheetData>
    <row r="1" spans="1:13">
      <c r="A1" s="217" t="s">
        <v>1080</v>
      </c>
      <c r="B1" s="217"/>
      <c r="C1" s="6"/>
      <c r="D1" s="6"/>
      <c r="E1" s="6"/>
      <c r="F1" s="6"/>
      <c r="G1" s="6"/>
      <c r="H1" s="6"/>
      <c r="I1" s="6"/>
      <c r="J1" s="6"/>
      <c r="K1" s="6"/>
      <c r="L1" s="6"/>
      <c r="M1" s="6"/>
    </row>
    <row r="2" spans="1:13">
      <c r="A2" s="217" t="s">
        <v>1082</v>
      </c>
      <c r="B2" s="217"/>
      <c r="C2" s="217"/>
      <c r="D2" s="216"/>
      <c r="E2" s="6"/>
      <c r="F2" s="6"/>
      <c r="G2" s="6"/>
      <c r="H2" s="6"/>
      <c r="I2" s="6"/>
      <c r="J2" s="6"/>
      <c r="K2" s="6"/>
      <c r="L2" s="6"/>
      <c r="M2" s="6"/>
    </row>
    <row r="3" spans="1:13">
      <c r="A3" s="47" t="s">
        <v>495</v>
      </c>
      <c r="B3" s="47" t="s">
        <v>117</v>
      </c>
      <c r="C3" s="47" t="s">
        <v>118</v>
      </c>
      <c r="D3" s="47" t="s">
        <v>119</v>
      </c>
      <c r="E3" s="47" t="s">
        <v>120</v>
      </c>
      <c r="F3" s="47" t="s">
        <v>121</v>
      </c>
      <c r="G3" s="47" t="s">
        <v>1081</v>
      </c>
      <c r="H3" s="47" t="s">
        <v>156</v>
      </c>
      <c r="I3" s="47" t="s">
        <v>157</v>
      </c>
      <c r="J3" s="47" t="s">
        <v>158</v>
      </c>
      <c r="K3" s="47" t="s">
        <v>159</v>
      </c>
      <c r="L3" s="47" t="s">
        <v>160</v>
      </c>
      <c r="M3" s="6"/>
    </row>
    <row r="4" spans="1:13">
      <c r="A4" s="38" t="s">
        <v>537</v>
      </c>
      <c r="B4" s="222">
        <f>Table1[[#This Row],[2020]]</f>
        <v>15301</v>
      </c>
      <c r="C4" s="222">
        <f>Table1[[#This Row],[2021]]</f>
        <v>18884</v>
      </c>
      <c r="D4" s="222">
        <f>Table1[[#This Row],[2022]]</f>
        <v>22237</v>
      </c>
      <c r="E4" s="222">
        <f>Table1[[#This Row],[2023]]</f>
        <v>25098</v>
      </c>
      <c r="F4" s="222">
        <f>Table1[[#This Row],[2024]]</f>
        <v>28167</v>
      </c>
      <c r="G4" s="51">
        <f>(Table51[[#This Row],[2024]] / Table51[[#This Row],[2020]])^(1/4)-1</f>
        <v>0.16481027951126981</v>
      </c>
      <c r="H4" s="222">
        <f>F4*(1+$G4)</f>
        <v>32809.21114299394</v>
      </c>
      <c r="I4" s="222">
        <f>Table51[[#This Row],[2025]]*(1+Table51[[#This Row],[CAGR]])</f>
        <v>38216.506402015038</v>
      </c>
      <c r="J4" s="222">
        <f>Table51[[#This Row],[2026]]*(1+Table51[[#This Row],[CAGR]])</f>
        <v>44514.979504075367</v>
      </c>
      <c r="K4" s="222">
        <f>Table51[[#This Row],[2027]]*(1+Table51[[#This Row],[CAGR]])</f>
        <v>51851.505718580476</v>
      </c>
      <c r="L4" s="222">
        <f>Table51[[#This Row],[2028]]*(1+Table51[[#This Row],[CAGR]])</f>
        <v>60397.166869139932</v>
      </c>
      <c r="M4" s="6"/>
    </row>
    <row r="5" spans="1:13" ht="28">
      <c r="A5" s="38" t="s">
        <v>155</v>
      </c>
      <c r="B5" s="222">
        <f>'Profit Loss'!B11</f>
        <v>8081</v>
      </c>
      <c r="C5" s="222">
        <f>'Profit Loss'!C11</f>
        <v>10082</v>
      </c>
      <c r="D5" s="222">
        <f>'Profit Loss'!D11</f>
        <v>12264</v>
      </c>
      <c r="E5" s="222">
        <f>'Profit Loss'!E11</f>
        <v>14008</v>
      </c>
      <c r="F5" s="222">
        <f>'Profit Loss'!F11</f>
        <v>15582</v>
      </c>
      <c r="G5" s="51">
        <f>(Table51[[#This Row],[2024]] / Table51[[#This Row],[2020]])^(1/4)-1</f>
        <v>0.17839128870790777</v>
      </c>
      <c r="H5" s="222">
        <f>F5*(1+$G5)</f>
        <v>18361.693060646619</v>
      </c>
      <c r="I5" s="222">
        <f>Table51[[#This Row],[2025]]*(1+Table51[[#This Row],[CAGR]])</f>
        <v>21637.259148594418</v>
      </c>
      <c r="J5" s="222">
        <f>Table51[[#This Row],[2026]]*(1+Table51[[#This Row],[CAGR]])</f>
        <v>25497.157692219142</v>
      </c>
      <c r="K5" s="222">
        <f>Table51[[#This Row],[2027]]*(1+Table51[[#This Row],[CAGR]])</f>
        <v>30045.628511322859</v>
      </c>
      <c r="L5" s="222">
        <f>Table51[[#This Row],[2028]]*(1+Table51[[#This Row],[CAGR]])</f>
        <v>35405.506901496803</v>
      </c>
      <c r="M5" s="6"/>
    </row>
    <row r="6" spans="1:13">
      <c r="A6" s="38" t="s">
        <v>18</v>
      </c>
      <c r="B6" s="222">
        <f>'Profit Loss'!B20</f>
        <v>6411</v>
      </c>
      <c r="C6" s="222">
        <f>'Profit Loss'!C20</f>
        <v>8687</v>
      </c>
      <c r="D6" s="222">
        <f>'Profit Loss'!D20</f>
        <v>9930</v>
      </c>
      <c r="E6" s="222">
        <f>'Profit Loss'!E20</f>
        <v>11195</v>
      </c>
      <c r="F6" s="222">
        <f>'Profit Loss'!F20</f>
        <v>12874</v>
      </c>
      <c r="G6" s="51">
        <f>(Table51[[#This Row],[2024]] / Table51[[#This Row],[2020]])^(1/4)-1</f>
        <v>0.1904110017986298</v>
      </c>
      <c r="H6" s="222">
        <f t="shared" ref="H6:H7" si="0">F6*(1+$G6)</f>
        <v>15325.351237155561</v>
      </c>
      <c r="I6" s="222">
        <f>Table51[[#This Row],[2025]]*(1+Table51[[#This Row],[CAGR]])</f>
        <v>18243.466719138221</v>
      </c>
      <c r="J6" s="222">
        <f>Table51[[#This Row],[2026]]*(1+Table51[[#This Row],[CAGR]])</f>
        <v>21717.223493409292</v>
      </c>
      <c r="K6" s="222">
        <f>Table51[[#This Row],[2027]]*(1+Table51[[#This Row],[CAGR]])</f>
        <v>25852.421775074094</v>
      </c>
      <c r="L6" s="222">
        <f>Table51[[#This Row],[2028]]*(1+Table51[[#This Row],[CAGR]])</f>
        <v>30775.007304186664</v>
      </c>
      <c r="M6" s="6"/>
    </row>
    <row r="7" spans="1:13">
      <c r="A7" s="38" t="s">
        <v>319</v>
      </c>
      <c r="B7" s="79">
        <f>'Profit Loss'!B21</f>
        <v>6.4</v>
      </c>
      <c r="C7" s="79">
        <f>'Profit Loss'!C21</f>
        <v>8.7899999999999991</v>
      </c>
      <c r="D7" s="79">
        <f>'Profit Loss'!D21</f>
        <v>10.26</v>
      </c>
      <c r="E7" s="79">
        <f>'Profit Loss'!E21</f>
        <v>11.86</v>
      </c>
      <c r="F7" s="79">
        <f>'Profit Loss'!F21</f>
        <v>13.91</v>
      </c>
      <c r="G7" s="51">
        <f>(Table51[[#This Row],[2024]] / Table51[[#This Row],[2020]])^(1/4)-1</f>
        <v>0.21419038379049193</v>
      </c>
      <c r="H7" s="79">
        <f t="shared" si="0"/>
        <v>16.889388238525743</v>
      </c>
      <c r="I7" s="79">
        <f>Table51[[#This Row],[2025]]*(1+Table51[[#This Row],[CAGR]])</f>
        <v>20.506932787322192</v>
      </c>
      <c r="J7" s="79">
        <f>Table51[[#This Row],[2026]]*(1+Table51[[#This Row],[CAGR]])</f>
        <v>24.899320591404557</v>
      </c>
      <c r="K7" s="79">
        <f>Table51[[#This Row],[2027]]*(1+Table51[[#This Row],[CAGR]])</f>
        <v>30.232515624999998</v>
      </c>
      <c r="L7" s="79">
        <f>Table51[[#This Row],[2028]]*(1+Table51[[#This Row],[CAGR]])</f>
        <v>36.708029749670793</v>
      </c>
      <c r="M7" s="6"/>
    </row>
    <row r="8" spans="1:13">
      <c r="A8" s="6"/>
      <c r="B8" s="40"/>
      <c r="C8" s="40"/>
      <c r="D8" s="40"/>
      <c r="E8" s="40"/>
      <c r="F8" s="40"/>
      <c r="G8" s="6"/>
      <c r="H8" s="40"/>
      <c r="I8" s="40"/>
      <c r="J8" s="40"/>
      <c r="K8" s="40"/>
      <c r="L8" s="40"/>
      <c r="M8" s="6"/>
    </row>
    <row r="9" spans="1:13">
      <c r="A9" s="217" t="s">
        <v>1083</v>
      </c>
      <c r="B9" s="219"/>
      <c r="C9" s="219"/>
      <c r="D9" s="220"/>
      <c r="E9" s="220"/>
      <c r="F9" s="220"/>
      <c r="G9" s="158"/>
      <c r="H9" s="220"/>
      <c r="I9" s="220"/>
      <c r="J9" s="220"/>
      <c r="K9" s="220"/>
      <c r="L9" s="220"/>
    </row>
    <row r="10" spans="1:13">
      <c r="A10" s="158" t="s">
        <v>495</v>
      </c>
      <c r="B10" s="220" t="s">
        <v>117</v>
      </c>
      <c r="C10" s="220" t="s">
        <v>118</v>
      </c>
      <c r="D10" s="220" t="s">
        <v>119</v>
      </c>
      <c r="E10" s="220" t="s">
        <v>120</v>
      </c>
      <c r="F10" s="220" t="s">
        <v>121</v>
      </c>
      <c r="G10" s="158" t="s">
        <v>1081</v>
      </c>
      <c r="H10" s="220" t="s">
        <v>156</v>
      </c>
      <c r="I10" s="220" t="s">
        <v>157</v>
      </c>
      <c r="J10" s="220" t="s">
        <v>158</v>
      </c>
      <c r="K10" s="220" t="s">
        <v>159</v>
      </c>
      <c r="L10" s="220" t="s">
        <v>160</v>
      </c>
    </row>
    <row r="11" spans="1:13">
      <c r="A11" s="215" t="s">
        <v>39</v>
      </c>
      <c r="B11" s="223">
        <f>Balance_Sheet!B18</f>
        <v>33584</v>
      </c>
      <c r="C11" s="223">
        <f>Balance_Sheet!C18</f>
        <v>37669</v>
      </c>
      <c r="D11" s="223">
        <f>Balance_Sheet!D18</f>
        <v>38724</v>
      </c>
      <c r="E11" s="223">
        <f>Balance_Sheet!E18</f>
        <v>42448</v>
      </c>
      <c r="F11" s="223">
        <f>Balance_Sheet!F18</f>
        <v>48081</v>
      </c>
      <c r="G11" s="218">
        <f>(Table52[[#This Row],[2024]] / Table52[[#This Row],[2020]])^(1/4)-1</f>
        <v>9.3856287816306283E-2</v>
      </c>
      <c r="H11" s="223">
        <f t="shared" ref="H11:H14" si="1">F11*(1+$G11)</f>
        <v>52593.704174495826</v>
      </c>
      <c r="I11" s="223">
        <f>Table52[[#This Row],[2025]]*(1+Table52[[#This Row],[CAGR]])</f>
        <v>57529.954010822978</v>
      </c>
      <c r="J11" s="223">
        <f>Table52[[#This Row],[2026]]*(1+Table52[[#This Row],[CAGR]])</f>
        <v>62929.501932521642</v>
      </c>
      <c r="K11" s="223">
        <f>Table52[[#This Row],[2027]]*(1+Table52[[#This Row],[CAGR]])</f>
        <v>68835.831378037197</v>
      </c>
      <c r="L11" s="223">
        <f>Table52[[#This Row],[2028]]*(1+Table52[[#This Row],[CAGR]])</f>
        <v>75296.506979928978</v>
      </c>
    </row>
    <row r="12" spans="1:13" ht="28">
      <c r="A12" s="215" t="s">
        <v>50</v>
      </c>
      <c r="B12" s="223">
        <f>Balance_Sheet!B31</f>
        <v>27067</v>
      </c>
      <c r="C12" s="223">
        <f>Balance_Sheet!C31</f>
        <v>30257</v>
      </c>
      <c r="D12" s="223">
        <f>Balance_Sheet!D31</f>
        <v>32347</v>
      </c>
      <c r="E12" s="223">
        <f>Balance_Sheet!E31</f>
        <v>35451</v>
      </c>
      <c r="F12" s="223">
        <f>Balance_Sheet!F31</f>
        <v>41566</v>
      </c>
      <c r="G12" s="218">
        <f>(Table52[[#This Row],[2024]] / Table52[[#This Row],[2020]])^(1/4)-1</f>
        <v>0.11320340890855984</v>
      </c>
      <c r="H12" s="223">
        <f t="shared" si="1"/>
        <v>46271.412894693196</v>
      </c>
      <c r="I12" s="223">
        <f>Table52[[#This Row],[2025]]*(1+Table52[[#This Row],[CAGR]])</f>
        <v>51509.494569387956</v>
      </c>
      <c r="J12" s="223">
        <f>Table52[[#This Row],[2026]]*(1+Table52[[#This Row],[CAGR]])</f>
        <v>57340.544945799622</v>
      </c>
      <c r="K12" s="223">
        <f>Table52[[#This Row],[2027]]*(1+Table52[[#This Row],[CAGR]])</f>
        <v>63831.690102338631</v>
      </c>
      <c r="L12" s="223">
        <f>Table52[[#This Row],[2028]]*(1+Table52[[#This Row],[CAGR]])</f>
        <v>71057.655018318139</v>
      </c>
    </row>
    <row r="13" spans="1:13" ht="28">
      <c r="A13" s="215" t="s">
        <v>1084</v>
      </c>
      <c r="B13" s="223">
        <f>Balance_Sheet!B41</f>
        <v>6488</v>
      </c>
      <c r="C13" s="223">
        <f>Balance_Sheet!C41</f>
        <v>7383</v>
      </c>
      <c r="D13" s="223">
        <f>Balance_Sheet!D41</f>
        <v>6356</v>
      </c>
      <c r="E13" s="223">
        <f>Balance_Sheet!E41</f>
        <v>6975</v>
      </c>
      <c r="F13" s="223">
        <f>Balance_Sheet!F41</f>
        <v>6515</v>
      </c>
      <c r="G13" s="218">
        <f>(Table52[[#This Row],[2024]] / Table52[[#This Row],[2020]])^(1/4)-1</f>
        <v>1.0387625814474166E-3</v>
      </c>
      <c r="H13" s="223">
        <f t="shared" si="1"/>
        <v>6521.7675382181296</v>
      </c>
      <c r="I13" s="223">
        <f>Table52[[#This Row],[2025]]*(1+Table52[[#This Row],[CAGR]])</f>
        <v>6528.5421063017293</v>
      </c>
      <c r="J13" s="223">
        <f>Table52[[#This Row],[2026]]*(1+Table52[[#This Row],[CAGR]])</f>
        <v>6535.3237115531592</v>
      </c>
      <c r="K13" s="223">
        <f>Table52[[#This Row],[2027]]*(1+Table52[[#This Row],[CAGR]])</f>
        <v>6542.1123612823667</v>
      </c>
      <c r="L13" s="223">
        <f>Table52[[#This Row],[2028]]*(1+Table52[[#This Row],[CAGR]])</f>
        <v>6548.9080628068914</v>
      </c>
    </row>
    <row r="14" spans="1:13" ht="28">
      <c r="A14" s="215" t="s">
        <v>174</v>
      </c>
      <c r="B14" s="223">
        <f>Balance_Sheet!B4</f>
        <v>10113</v>
      </c>
      <c r="C14" s="223">
        <f>Balance_Sheet!C4</f>
        <v>7421</v>
      </c>
      <c r="D14" s="223">
        <f>Balance_Sheet!D4</f>
        <v>7008</v>
      </c>
      <c r="E14" s="223">
        <f>Balance_Sheet!E4</f>
        <v>8588</v>
      </c>
      <c r="F14" s="223">
        <f>Balance_Sheet!F4</f>
        <v>8442</v>
      </c>
      <c r="G14" s="218">
        <f>(Table52[[#This Row],[2024]] / Table52[[#This Row],[2020]])^(1/4)-1</f>
        <v>-4.4146499080959023E-2</v>
      </c>
      <c r="H14" s="223">
        <f t="shared" si="1"/>
        <v>8069.3152547585441</v>
      </c>
      <c r="I14" s="223">
        <f>Table52[[#This Row],[2025]]*(1+Table52[[#This Row],[CAGR]])</f>
        <v>7713.0832362803776</v>
      </c>
      <c r="J14" s="223">
        <f>Table52[[#This Row],[2026]]*(1+Table52[[#This Row],[CAGR]])</f>
        <v>7372.5776142785653</v>
      </c>
      <c r="K14" s="223">
        <f>Table52[[#This Row],[2027]]*(1+Table52[[#This Row],[CAGR]])</f>
        <v>7047.1041234055174</v>
      </c>
      <c r="L14" s="223">
        <f>Table52[[#This Row],[2028]]*(1+Table52[[#This Row],[CAGR]])</f>
        <v>6735.9991476981731</v>
      </c>
    </row>
    <row r="15" spans="1:13">
      <c r="B15" s="187"/>
      <c r="C15" s="187"/>
      <c r="D15" s="187"/>
      <c r="E15" s="187"/>
      <c r="F15" s="187"/>
      <c r="H15" s="187"/>
      <c r="I15" s="187"/>
      <c r="J15" s="187"/>
      <c r="K15" s="187"/>
      <c r="L15" s="187"/>
    </row>
    <row r="16" spans="1:13">
      <c r="A16" s="217" t="s">
        <v>1085</v>
      </c>
      <c r="B16" s="221"/>
      <c r="C16" s="221"/>
      <c r="D16" s="187"/>
      <c r="E16" s="187"/>
      <c r="F16" s="187"/>
      <c r="H16" s="187"/>
      <c r="I16" s="187"/>
      <c r="J16" s="187"/>
      <c r="K16" s="187"/>
      <c r="L16" s="187"/>
    </row>
    <row r="17" spans="1:12">
      <c r="A17" s="158" t="s">
        <v>495</v>
      </c>
      <c r="B17" s="220" t="s">
        <v>117</v>
      </c>
      <c r="C17" s="220" t="s">
        <v>118</v>
      </c>
      <c r="D17" s="220" t="s">
        <v>119</v>
      </c>
      <c r="E17" s="220" t="s">
        <v>120</v>
      </c>
      <c r="F17" s="220" t="s">
        <v>121</v>
      </c>
      <c r="G17" s="158" t="s">
        <v>1081</v>
      </c>
      <c r="H17" s="220" t="s">
        <v>156</v>
      </c>
      <c r="I17" s="220" t="s">
        <v>157</v>
      </c>
      <c r="J17" s="220" t="s">
        <v>158</v>
      </c>
      <c r="K17" s="220" t="s">
        <v>159</v>
      </c>
      <c r="L17" s="220" t="s">
        <v>160</v>
      </c>
    </row>
    <row r="18" spans="1:12" ht="28">
      <c r="A18" s="215" t="s">
        <v>608</v>
      </c>
      <c r="B18" s="223">
        <f>'Cash Flow'!B24</f>
        <v>7224</v>
      </c>
      <c r="C18" s="223">
        <f>'Cash Flow'!C24</f>
        <v>9463</v>
      </c>
      <c r="D18" s="223">
        <f>'Cash Flow'!D24</f>
        <v>11195</v>
      </c>
      <c r="E18" s="223">
        <f>'Cash Flow'!E24</f>
        <v>11980</v>
      </c>
      <c r="F18" s="223">
        <f>'Cash Flow'!F24</f>
        <v>14780</v>
      </c>
      <c r="G18" s="218">
        <f>(Table53[[#This Row],[2024]] / Table53[[#This Row],[2020]])^(1/4)-1</f>
        <v>0.1959807078657898</v>
      </c>
      <c r="H18" s="223">
        <f>F18*(1+$G18)</f>
        <v>17676.594862256374</v>
      </c>
      <c r="I18" s="223">
        <f>Table53[[#This Row],[2025]]*(1+Table53[[#This Row],[CAGR]])</f>
        <v>21140.866436018161</v>
      </c>
      <c r="J18" s="223">
        <f>Table53[[#This Row],[2026]]*(1+Table53[[#This Row],[CAGR]])</f>
        <v>25284.068405045116</v>
      </c>
      <c r="K18" s="223">
        <f>Table53[[#This Row],[2027]]*(1+Table53[[#This Row],[CAGR]])</f>
        <v>30239.258028792909</v>
      </c>
      <c r="L18" s="223">
        <f>Table53[[#This Row],[2028]]*(1+Table53[[#This Row],[CAGR]])</f>
        <v>36165.569222612008</v>
      </c>
    </row>
    <row r="19" spans="1:12" ht="28">
      <c r="A19" s="215" t="s">
        <v>614</v>
      </c>
      <c r="B19" s="223">
        <f>'Cash Flow'!B38</f>
        <v>-1879</v>
      </c>
      <c r="C19" s="223">
        <f>'Cash Flow'!C38</f>
        <v>-5272</v>
      </c>
      <c r="D19" s="223">
        <f>'Cash Flow'!D38</f>
        <v>-1470</v>
      </c>
      <c r="E19" s="223">
        <f>'Cash Flow'!E38</f>
        <v>-1351</v>
      </c>
      <c r="F19" s="223">
        <f>'Cash Flow'!F38</f>
        <v>-3402</v>
      </c>
      <c r="G19" s="218">
        <f>(Table53[[#This Row],[2024]] / Table53[[#This Row],[2020]])^(1/4)-1</f>
        <v>0.1599836885047663</v>
      </c>
      <c r="H19" s="223">
        <f>AVERAGE(Table53[[#This Row],[2020]:[2024]])</f>
        <v>-2674.8</v>
      </c>
      <c r="I19" s="223">
        <f>AVERAGE(Table53[[#This Row],[2020]:[2024]])</f>
        <v>-2674.8</v>
      </c>
      <c r="J19" s="223">
        <f>AVERAGE(Table53[[#This Row],[2020]:[2024]])</f>
        <v>-2674.8</v>
      </c>
      <c r="K19" s="223">
        <f>AVERAGE(Table53[[#This Row],[2020]:[2024]])</f>
        <v>-2674.8</v>
      </c>
      <c r="L19" s="223">
        <f>AVERAGE(Table53[[#This Row],[2020]:[2024]])</f>
        <v>-2674.8</v>
      </c>
    </row>
    <row r="20" spans="1:12" ht="28">
      <c r="A20" s="215" t="s">
        <v>622</v>
      </c>
      <c r="B20" s="223">
        <f>'Cash Flow'!B50</f>
        <v>-2152</v>
      </c>
      <c r="C20" s="223">
        <f>'Cash Flow'!C50</f>
        <v>-6555</v>
      </c>
      <c r="D20" s="223">
        <f>'Cash Flow'!D50</f>
        <v>-10328</v>
      </c>
      <c r="E20" s="223">
        <f>'Cash Flow'!E50</f>
        <v>-9488</v>
      </c>
      <c r="F20" s="223">
        <f>'Cash Flow'!F50</f>
        <v>-10836</v>
      </c>
      <c r="G20" s="218">
        <f>(Table53[[#This Row],[2024]] / Table53[[#This Row],[2020]])^(1/4)-1</f>
        <v>0.49798230181247716</v>
      </c>
      <c r="H20" s="223">
        <f>AVERAGE(Table53[[#This Row],[2020]:[2024]])</f>
        <v>-7871.8</v>
      </c>
      <c r="I20" s="223">
        <f>AVERAGE(Table53[[#This Row],[2020]:[2024]])</f>
        <v>-7871.8</v>
      </c>
      <c r="J20" s="223">
        <f>AVERAGE(Table53[[#This Row],[2020]:[2024]])</f>
        <v>-7871.8</v>
      </c>
      <c r="K20" s="223">
        <f>AVERAGE(Table53[[#This Row],[2020]:[2024]])</f>
        <v>-7871.8</v>
      </c>
      <c r="L20" s="223">
        <f>AVERAGE(Table53[[#This Row],[2020]:[2024]])</f>
        <v>-7871.8</v>
      </c>
    </row>
    <row r="21" spans="1:12" ht="28">
      <c r="A21" s="215" t="s">
        <v>911</v>
      </c>
      <c r="B21" s="223">
        <f>'Cash Flow'!B55</f>
        <v>7563</v>
      </c>
      <c r="C21" s="223">
        <f>'Cash Flow'!C55</f>
        <v>9870</v>
      </c>
      <c r="D21" s="223">
        <f>'Cash Flow'!D55</f>
        <v>11637</v>
      </c>
      <c r="E21" s="223">
        <f>'Cash Flow'!E55</f>
        <v>12351</v>
      </c>
      <c r="F21" s="223">
        <f>'Cash Flow'!F55</f>
        <v>15254</v>
      </c>
      <c r="G21" s="218">
        <f>(Table53[[#This Row],[2024]] / Table53[[#This Row],[2020]])^(1/4)-1</f>
        <v>0.19171501265735968</v>
      </c>
      <c r="H21" s="223">
        <f>F21*(1+$G21)</f>
        <v>18178.420803075365</v>
      </c>
      <c r="I21" s="223">
        <f>Table53[[#This Row],[2025]]*(1+Table53[[#This Row],[CAGR]])</f>
        <v>21663.496977427771</v>
      </c>
      <c r="J21" s="223">
        <f>Table53[[#This Row],[2026]]*(1+Table53[[#This Row],[CAGR]])</f>
        <v>25816.71457465801</v>
      </c>
      <c r="K21" s="223">
        <f>Table53[[#This Row],[2027]]*(1+Table53[[#This Row],[CAGR]])</f>
        <v>30766.166336110011</v>
      </c>
      <c r="L21" s="223">
        <f>Table53[[#This Row],[2028]]*(1+Table53[[#This Row],[CAGR]])</f>
        <v>36664.502304655776</v>
      </c>
    </row>
  </sheetData>
  <pageMargins left="0.7" right="0.7" top="0.75" bottom="0.75" header="0.3" footer="0.3"/>
  <drawing r:id="rId1"/>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F05B9-555E-456C-BC29-FEE4F697A8A7}">
  <dimension ref="A1:O27"/>
  <sheetViews>
    <sheetView zoomScale="69" zoomScaleNormal="90" workbookViewId="0"/>
  </sheetViews>
  <sheetFormatPr defaultRowHeight="14"/>
  <cols>
    <col min="1" max="1" width="73" customWidth="1"/>
    <col min="2" max="2" width="13.75" customWidth="1"/>
    <col min="3" max="3" width="12.25" customWidth="1"/>
    <col min="4" max="4" width="13.83203125" customWidth="1"/>
    <col min="5" max="5" width="12.75" customWidth="1"/>
    <col min="6" max="6" width="12.83203125" customWidth="1"/>
    <col min="7" max="7" width="11.25" customWidth="1"/>
    <col min="8" max="8" width="13.25" customWidth="1"/>
    <col min="9" max="9" width="12.58203125" customWidth="1"/>
    <col min="10" max="10" width="12.25" customWidth="1"/>
    <col min="11" max="11" width="12" customWidth="1"/>
    <col min="13" max="13" width="13.58203125" customWidth="1"/>
  </cols>
  <sheetData>
    <row r="1" spans="1:15">
      <c r="A1" s="5" t="s">
        <v>0</v>
      </c>
      <c r="B1" s="114" t="s">
        <v>117</v>
      </c>
      <c r="C1" s="114" t="s">
        <v>118</v>
      </c>
      <c r="D1" s="114" t="s">
        <v>119</v>
      </c>
      <c r="E1" s="114" t="s">
        <v>120</v>
      </c>
      <c r="F1" s="114" t="s">
        <v>121</v>
      </c>
      <c r="G1" s="66" t="s">
        <v>124</v>
      </c>
      <c r="H1" s="66" t="s">
        <v>125</v>
      </c>
      <c r="I1" s="66" t="s">
        <v>126</v>
      </c>
      <c r="J1" s="66" t="s">
        <v>127</v>
      </c>
      <c r="K1" s="66" t="s">
        <v>128</v>
      </c>
      <c r="L1" s="6"/>
      <c r="M1" s="6"/>
      <c r="N1" s="6"/>
      <c r="O1" s="6"/>
    </row>
    <row r="2" spans="1:15">
      <c r="A2" s="5" t="s">
        <v>111</v>
      </c>
      <c r="B2" s="5"/>
      <c r="C2" s="5"/>
      <c r="D2" s="116"/>
      <c r="E2" s="116"/>
      <c r="F2" s="116"/>
      <c r="G2" s="130"/>
      <c r="H2" s="129"/>
      <c r="I2" s="129"/>
      <c r="J2" s="66"/>
      <c r="K2" s="66"/>
      <c r="L2" s="6"/>
      <c r="M2" s="5" t="s">
        <v>525</v>
      </c>
      <c r="N2" s="72" t="s">
        <v>527</v>
      </c>
      <c r="O2" s="6"/>
    </row>
    <row r="3" spans="1:15">
      <c r="A3" s="5" t="s">
        <v>1</v>
      </c>
      <c r="B3" s="6"/>
      <c r="C3" s="6"/>
      <c r="D3" s="119" t="s">
        <v>23</v>
      </c>
      <c r="E3" s="119" t="s">
        <v>23</v>
      </c>
      <c r="F3" s="119" t="s">
        <v>23</v>
      </c>
      <c r="G3" s="130"/>
      <c r="H3" s="129"/>
      <c r="I3" s="129"/>
      <c r="J3" s="66"/>
      <c r="K3" s="66"/>
      <c r="L3" s="6"/>
      <c r="M3" s="5" t="s">
        <v>526</v>
      </c>
      <c r="N3" s="73" t="s">
        <v>528</v>
      </c>
      <c r="O3" s="6"/>
    </row>
    <row r="4" spans="1:15">
      <c r="A4" s="6" t="s">
        <v>2</v>
      </c>
      <c r="B4" s="6">
        <v>15301</v>
      </c>
      <c r="C4" s="6">
        <v>18884</v>
      </c>
      <c r="D4" s="120">
        <v>22237</v>
      </c>
      <c r="E4" s="120">
        <v>25098</v>
      </c>
      <c r="F4" s="120">
        <v>28167</v>
      </c>
      <c r="G4" s="176">
        <f>Table1[[#This Row],[2024]]*(1+Assumptions!B14)</f>
        <v>31265.370000000003</v>
      </c>
      <c r="H4" s="176">
        <f>Table1[[#This Row],[2025E]]*(1+Assumptions!B15)</f>
        <v>34391.907000000007</v>
      </c>
      <c r="I4" s="176">
        <f>Table1[[#This Row],[2026E]]*(1+Assumptions!B16)</f>
        <v>37487.178630000009</v>
      </c>
      <c r="J4" s="176">
        <f>Table1[[#This Row],[2027E]]*(1+Assumptions!B17)</f>
        <v>40486.152920400011</v>
      </c>
      <c r="K4" s="176">
        <f>Table1[[#This Row],[2028E]]*(1+Assumptions!B18)</f>
        <v>43320.183624828016</v>
      </c>
      <c r="L4" s="6"/>
      <c r="M4" s="6"/>
      <c r="N4" s="6"/>
      <c r="O4" s="6"/>
    </row>
    <row r="5" spans="1:15">
      <c r="A5" s="5" t="s">
        <v>3</v>
      </c>
      <c r="B5" s="6"/>
      <c r="C5" s="6"/>
      <c r="D5" s="119" t="s">
        <v>23</v>
      </c>
      <c r="E5" s="119" t="s">
        <v>23</v>
      </c>
      <c r="F5" s="119" t="s">
        <v>23</v>
      </c>
      <c r="G5" s="129"/>
      <c r="H5" s="129"/>
      <c r="I5" s="129"/>
      <c r="J5" s="66"/>
      <c r="K5" s="66"/>
      <c r="L5" s="6"/>
      <c r="M5" s="6"/>
      <c r="N5" s="6"/>
      <c r="O5" s="6"/>
    </row>
    <row r="6" spans="1:15">
      <c r="A6" s="6" t="s">
        <v>4</v>
      </c>
      <c r="B6" s="6">
        <v>5910</v>
      </c>
      <c r="C6" s="6">
        <v>7087</v>
      </c>
      <c r="D6" s="121">
        <v>8078</v>
      </c>
      <c r="E6" s="121">
        <v>8927</v>
      </c>
      <c r="F6" s="121">
        <v>10193</v>
      </c>
      <c r="G6" s="173">
        <f>Table1[[#This Row],[2024]]*1.08</f>
        <v>11008.44</v>
      </c>
      <c r="H6" s="173">
        <f>Table1[[#This Row],[2025E]]*1.08</f>
        <v>11889.115200000002</v>
      </c>
      <c r="I6" s="173">
        <f>Table1[[#This Row],[2026E]]*1.08</f>
        <v>12840.244416000003</v>
      </c>
      <c r="J6" s="173">
        <f>Table1[[#This Row],[2027E]]*1.08</f>
        <v>13867.463969280005</v>
      </c>
      <c r="K6" s="173">
        <f>Table1[[#This Row],[2028E]]*1.08</f>
        <v>14976.861086822406</v>
      </c>
      <c r="L6" s="6"/>
      <c r="M6" s="6"/>
      <c r="N6" s="6"/>
      <c r="O6" s="6"/>
    </row>
    <row r="7" spans="1:15">
      <c r="A7" s="6" t="s">
        <v>5</v>
      </c>
      <c r="B7" s="6">
        <v>657</v>
      </c>
      <c r="C7" s="6">
        <v>895</v>
      </c>
      <c r="D7" s="121">
        <v>789</v>
      </c>
      <c r="E7" s="121">
        <v>825</v>
      </c>
      <c r="F7" s="121">
        <v>815</v>
      </c>
      <c r="G7" s="173">
        <f>G4*3%</f>
        <v>937.96109999999999</v>
      </c>
      <c r="H7" s="173">
        <f>H4*3%</f>
        <v>1031.7572100000002</v>
      </c>
      <c r="I7" s="173">
        <f>I4*3%</f>
        <v>1124.6153589000003</v>
      </c>
      <c r="J7" s="173">
        <f>J4*3%</f>
        <v>1214.5845876120002</v>
      </c>
      <c r="K7" s="173">
        <f>K4*3%</f>
        <v>1299.6055087448403</v>
      </c>
      <c r="L7" s="6"/>
      <c r="M7" s="6"/>
      <c r="N7" s="6"/>
      <c r="O7" s="6"/>
    </row>
    <row r="8" spans="1:15">
      <c r="A8" s="6" t="s">
        <v>6</v>
      </c>
      <c r="B8" s="6">
        <v>580</v>
      </c>
      <c r="C8" s="6">
        <v>726</v>
      </c>
      <c r="D8" s="121">
        <v>750</v>
      </c>
      <c r="E8" s="121">
        <v>799</v>
      </c>
      <c r="F8" s="121">
        <v>897</v>
      </c>
      <c r="G8" s="173">
        <f>Table1[[#This Row],[2024]]*1.08</f>
        <v>968.7600000000001</v>
      </c>
      <c r="H8" s="173">
        <f>Table1[[#This Row],[2025E]]*1.08</f>
        <v>1046.2608000000002</v>
      </c>
      <c r="I8" s="173">
        <f>Table1[[#This Row],[2026E]]*1.08</f>
        <v>1129.9616640000004</v>
      </c>
      <c r="J8" s="173">
        <f>Table1[[#This Row],[2027E]]*1.08</f>
        <v>1220.3585971200005</v>
      </c>
      <c r="K8" s="173">
        <f>Table1[[#This Row],[2028E]]*1.08</f>
        <v>1317.9872848896007</v>
      </c>
      <c r="L8" s="6"/>
      <c r="M8" s="6"/>
      <c r="N8" s="6"/>
      <c r="O8" s="6"/>
    </row>
    <row r="9" spans="1:15">
      <c r="A9" s="6" t="s">
        <v>7</v>
      </c>
      <c r="B9" s="6">
        <v>73</v>
      </c>
      <c r="C9" s="6">
        <v>94</v>
      </c>
      <c r="D9" s="121">
        <v>356</v>
      </c>
      <c r="E9" s="121">
        <v>539</v>
      </c>
      <c r="F9" s="121">
        <v>680</v>
      </c>
      <c r="G9" s="173">
        <f>Table1[[#This Row],[2024]]*1.05</f>
        <v>714</v>
      </c>
      <c r="H9" s="173">
        <f>Table1[[#This Row],[2025E]]*1.05</f>
        <v>749.7</v>
      </c>
      <c r="I9" s="173">
        <f>Table1[[#This Row],[2026E]]*1.05</f>
        <v>787.18500000000006</v>
      </c>
      <c r="J9" s="173">
        <f>Table1[[#This Row],[2027E]]*1.05</f>
        <v>826.54425000000015</v>
      </c>
      <c r="K9" s="173">
        <f>Table1[[#This Row],[2028E]]*1.05</f>
        <v>867.87146250000023</v>
      </c>
      <c r="L9" s="6"/>
      <c r="M9" s="6"/>
      <c r="N9" s="6"/>
      <c r="O9" s="6"/>
    </row>
    <row r="10" spans="1:15">
      <c r="A10" s="66" t="s">
        <v>8</v>
      </c>
      <c r="B10" s="66">
        <v>7220</v>
      </c>
      <c r="C10" s="66">
        <v>8802</v>
      </c>
      <c r="D10" s="118">
        <v>9973</v>
      </c>
      <c r="E10" s="118">
        <v>11090</v>
      </c>
      <c r="F10" s="118">
        <v>12585</v>
      </c>
      <c r="G10" s="173">
        <f>G4*Assumptions!E13</f>
        <v>14069.416500000001</v>
      </c>
      <c r="H10" s="173">
        <f>H4*Assumptions!E14</f>
        <v>15132.439080000004</v>
      </c>
      <c r="I10" s="173">
        <f>I4*Assumptions!E15</f>
        <v>16306.922704050005</v>
      </c>
      <c r="J10" s="173">
        <f>J4*Assumptions!E16</f>
        <v>17409.045755772004</v>
      </c>
      <c r="K10" s="173">
        <f>K4*Assumptions!E17</f>
        <v>18411.078040551907</v>
      </c>
      <c r="L10" s="6"/>
      <c r="M10" s="6"/>
      <c r="N10" s="6"/>
      <c r="O10" s="6"/>
    </row>
    <row r="11" spans="1:15">
      <c r="A11" s="6" t="s">
        <v>9</v>
      </c>
      <c r="B11" s="6">
        <v>8081</v>
      </c>
      <c r="C11" s="6">
        <v>10082</v>
      </c>
      <c r="D11" s="121">
        <v>12264</v>
      </c>
      <c r="E11" s="121">
        <v>14008</v>
      </c>
      <c r="F11" s="121">
        <v>15582</v>
      </c>
      <c r="G11" s="173">
        <f>(G4-G10)</f>
        <v>17195.953500000003</v>
      </c>
      <c r="H11" s="173">
        <f>(H4-H10)</f>
        <v>19259.467920000003</v>
      </c>
      <c r="I11" s="173">
        <f>(I4-I10)</f>
        <v>21180.255925950005</v>
      </c>
      <c r="J11" s="173">
        <f>(J4-J10)</f>
        <v>23077.107164628007</v>
      </c>
      <c r="K11" s="173">
        <f>(K4-K10)</f>
        <v>24909.105584276109</v>
      </c>
      <c r="L11" s="6"/>
      <c r="M11" s="6"/>
      <c r="N11" s="6"/>
      <c r="O11" s="6"/>
    </row>
    <row r="12" spans="1:15">
      <c r="A12" s="117" t="s">
        <v>10</v>
      </c>
      <c r="B12" s="6"/>
      <c r="C12" s="6"/>
      <c r="D12" s="119" t="s">
        <v>23</v>
      </c>
      <c r="E12" s="119" t="s">
        <v>23</v>
      </c>
      <c r="F12" s="119" t="s">
        <v>23</v>
      </c>
      <c r="G12" s="130"/>
      <c r="H12" s="129"/>
      <c r="I12" s="129"/>
      <c r="J12" s="66"/>
      <c r="K12" s="66"/>
      <c r="L12" s="6"/>
      <c r="M12" s="6"/>
      <c r="N12" s="6"/>
      <c r="O12" s="6"/>
    </row>
    <row r="13" spans="1:15">
      <c r="A13" s="6" t="s">
        <v>11</v>
      </c>
      <c r="B13" s="6">
        <v>24</v>
      </c>
      <c r="C13" s="6">
        <v>11</v>
      </c>
      <c r="D13" s="121">
        <v>61</v>
      </c>
      <c r="E13" s="121">
        <v>274</v>
      </c>
      <c r="F13" s="121">
        <v>327</v>
      </c>
      <c r="G13" s="173">
        <f>Table1[[#This Row],[2024]]*(1+Assumptions!B30)</f>
        <v>340.08</v>
      </c>
      <c r="H13" s="131">
        <f>Table1[[#This Row],[2025E]]*(1+Assumptions!B30)</f>
        <v>353.6832</v>
      </c>
      <c r="I13" s="131">
        <f>Table1[[#This Row],[2026E]]*(1+Assumptions!B30)</f>
        <v>367.83052800000002</v>
      </c>
      <c r="J13" s="131">
        <f>Table1[[#This Row],[2027E]]*(1+Assumptions!B30)</f>
        <v>382.54374912000003</v>
      </c>
      <c r="K13" s="131">
        <f>Table1[[#This Row],[2028E]]*(1+Assumptions!B30)</f>
        <v>397.84549908480005</v>
      </c>
      <c r="L13" s="6"/>
      <c r="M13" s="6"/>
      <c r="N13" s="6"/>
      <c r="O13" s="6"/>
    </row>
    <row r="14" spans="1:15">
      <c r="A14" s="6" t="s">
        <v>12</v>
      </c>
      <c r="B14" s="6">
        <v>30</v>
      </c>
      <c r="C14" s="6">
        <v>645</v>
      </c>
      <c r="D14" s="121">
        <v>-145</v>
      </c>
      <c r="E14" s="121">
        <v>-61</v>
      </c>
      <c r="F14" s="121">
        <v>-29</v>
      </c>
      <c r="G14" s="131">
        <v>0</v>
      </c>
      <c r="H14" s="131">
        <v>0</v>
      </c>
      <c r="I14" s="131">
        <v>0</v>
      </c>
      <c r="J14" s="131">
        <v>0</v>
      </c>
      <c r="K14" s="131">
        <v>0</v>
      </c>
      <c r="L14" s="6"/>
      <c r="M14" s="6"/>
      <c r="N14" s="6"/>
      <c r="O14" s="6"/>
    </row>
    <row r="15" spans="1:15">
      <c r="A15" s="6" t="s">
        <v>13</v>
      </c>
      <c r="B15" s="6">
        <v>-380</v>
      </c>
      <c r="C15" s="6">
        <v>-431</v>
      </c>
      <c r="D15" s="121">
        <v>-471</v>
      </c>
      <c r="E15" s="121">
        <v>-575</v>
      </c>
      <c r="F15" s="121">
        <v>-646</v>
      </c>
      <c r="G15" s="173">
        <f>-'Common Size'!G43*Assumptions!B22</f>
        <v>-820.17</v>
      </c>
      <c r="H15" s="173">
        <f>-'Common Size'!H43*Assumptions!B22</f>
        <v>-820.17</v>
      </c>
      <c r="I15" s="173">
        <f>-'Common Size'!I43*Assumptions!B22</f>
        <v>-820.17</v>
      </c>
      <c r="J15" s="173">
        <f>-'Common Size'!J43*Assumptions!B22</f>
        <v>-820.17</v>
      </c>
      <c r="K15" s="173">
        <f>-'Common Size'!K43*Assumptions!B22</f>
        <v>-820.17</v>
      </c>
      <c r="L15" s="6"/>
      <c r="M15" s="6"/>
      <c r="N15" s="6"/>
      <c r="O15" s="6"/>
    </row>
    <row r="16" spans="1:15">
      <c r="A16" s="6" t="s">
        <v>14</v>
      </c>
      <c r="B16" s="6">
        <v>5</v>
      </c>
      <c r="C16" s="6">
        <v>0</v>
      </c>
      <c r="D16" s="121">
        <v>23</v>
      </c>
      <c r="E16" s="121">
        <v>-7</v>
      </c>
      <c r="F16" s="121">
        <v>20</v>
      </c>
      <c r="G16" s="131">
        <v>0</v>
      </c>
      <c r="H16" s="131">
        <f>Table1[[#This Row],[2025E]]*(1+Assumptions!B31)</f>
        <v>0</v>
      </c>
      <c r="I16" s="131">
        <f>Table1[[#This Row],[2026E]]*(1+Assumptions!B31)</f>
        <v>0</v>
      </c>
      <c r="J16" s="131">
        <f>Table1[[#This Row],[2027E]]*(1+Assumptions!B31)</f>
        <v>0</v>
      </c>
      <c r="K16" s="131">
        <f>Table1[[#This Row],[2028E]]*(1+Assumptions!B31)</f>
        <v>0</v>
      </c>
      <c r="L16" s="6"/>
      <c r="M16" s="6"/>
      <c r="N16" s="6"/>
      <c r="O16" s="6"/>
    </row>
    <row r="17" spans="1:15">
      <c r="A17" s="6" t="s">
        <v>15</v>
      </c>
      <c r="B17" s="6">
        <v>-321</v>
      </c>
      <c r="C17" s="6">
        <v>225</v>
      </c>
      <c r="D17" s="121">
        <v>-532</v>
      </c>
      <c r="E17" s="121">
        <v>-369</v>
      </c>
      <c r="F17" s="121">
        <v>-328</v>
      </c>
      <c r="G17" s="129">
        <f>G13+G14+G15+G16</f>
        <v>-480.09</v>
      </c>
      <c r="H17" s="129">
        <f>SUM(H13:H16)</f>
        <v>-466.48679999999996</v>
      </c>
      <c r="I17" s="129">
        <f>SUM(I13:I16)</f>
        <v>-452.33947199999994</v>
      </c>
      <c r="J17" s="129">
        <f>SUM(J13:J16)</f>
        <v>-437.62625087999993</v>
      </c>
      <c r="K17" s="129">
        <f>SUM(K13:K16)</f>
        <v>-422.32450091519991</v>
      </c>
      <c r="L17" s="6"/>
      <c r="M17" s="6"/>
      <c r="N17" s="6"/>
      <c r="O17" s="6"/>
    </row>
    <row r="18" spans="1:15">
      <c r="A18" s="6" t="s">
        <v>16</v>
      </c>
      <c r="B18" s="6">
        <v>7760</v>
      </c>
      <c r="C18" s="6">
        <v>10307</v>
      </c>
      <c r="D18" s="121">
        <v>11732</v>
      </c>
      <c r="E18" s="121">
        <v>13639</v>
      </c>
      <c r="F18" s="121">
        <v>15254</v>
      </c>
      <c r="G18" s="129">
        <f>G11+G17</f>
        <v>16715.863500000003</v>
      </c>
      <c r="H18" s="129">
        <f>H11+H17</f>
        <v>18792.981120000004</v>
      </c>
      <c r="I18" s="129">
        <f>I11+I17</f>
        <v>20727.916453950005</v>
      </c>
      <c r="J18" s="129">
        <f>J11+J17</f>
        <v>22639.480913748008</v>
      </c>
      <c r="K18" s="129">
        <f>K11+K17</f>
        <v>24486.781083360907</v>
      </c>
      <c r="L18" s="6"/>
      <c r="M18" s="6"/>
      <c r="N18" s="6"/>
      <c r="O18" s="6"/>
    </row>
    <row r="19" spans="1:15">
      <c r="A19" s="6" t="s">
        <v>17</v>
      </c>
      <c r="B19" s="6">
        <v>1349</v>
      </c>
      <c r="C19" s="6">
        <v>1620</v>
      </c>
      <c r="D19" s="121">
        <v>1802</v>
      </c>
      <c r="E19" s="121">
        <v>2444</v>
      </c>
      <c r="F19" s="121">
        <v>2380</v>
      </c>
      <c r="G19" s="172">
        <f>G18*16%</f>
        <v>2674.5381600000005</v>
      </c>
      <c r="H19" s="172">
        <f>H18*16%</f>
        <v>3006.8769792000007</v>
      </c>
      <c r="I19" s="172">
        <f>I18*16%</f>
        <v>3316.4666326320007</v>
      </c>
      <c r="J19" s="172">
        <f>J18*16%</f>
        <v>3622.3169461996813</v>
      </c>
      <c r="K19" s="172">
        <f>K18*16%</f>
        <v>3917.8849733377451</v>
      </c>
      <c r="L19" s="6"/>
      <c r="M19" s="6"/>
      <c r="N19" s="6"/>
      <c r="O19" s="6"/>
    </row>
    <row r="20" spans="1:15">
      <c r="A20" s="66" t="s">
        <v>18</v>
      </c>
      <c r="B20" s="66">
        <v>6411</v>
      </c>
      <c r="C20" s="66">
        <v>8687</v>
      </c>
      <c r="D20" s="163">
        <v>9930</v>
      </c>
      <c r="E20" s="163">
        <v>11195</v>
      </c>
      <c r="F20" s="163">
        <v>12874</v>
      </c>
      <c r="G20" s="129">
        <f>G18-G19</f>
        <v>14041.325340000003</v>
      </c>
      <c r="H20" s="129">
        <f>H18-H19</f>
        <v>15786.104140800004</v>
      </c>
      <c r="I20" s="129">
        <f>I18-I19</f>
        <v>17411.449821318005</v>
      </c>
      <c r="J20" s="129">
        <f>J18-J19</f>
        <v>19017.163967548327</v>
      </c>
      <c r="K20" s="129">
        <f>K18-K19</f>
        <v>20568.896110023161</v>
      </c>
      <c r="L20" s="6"/>
      <c r="M20" s="6"/>
      <c r="N20" s="6"/>
      <c r="O20" s="6"/>
    </row>
    <row r="21" spans="1:15">
      <c r="A21" s="6" t="s">
        <v>19</v>
      </c>
      <c r="B21" s="6">
        <v>6.4</v>
      </c>
      <c r="C21" s="6">
        <v>8.7899999999999991</v>
      </c>
      <c r="D21" s="132">
        <v>10.26</v>
      </c>
      <c r="E21" s="132">
        <v>11.86</v>
      </c>
      <c r="F21" s="132">
        <v>13.91</v>
      </c>
      <c r="G21" s="133">
        <f>G20/G22</f>
        <v>15.489603243243247</v>
      </c>
      <c r="H21" s="129">
        <f>H20/H22</f>
        <v>17.769740244267595</v>
      </c>
      <c r="I21" s="129">
        <f>I20/I22</f>
        <v>19.999308319683408</v>
      </c>
      <c r="J21" s="129">
        <f>J20/J22</f>
        <v>22.289468644638958</v>
      </c>
      <c r="K21" s="129">
        <f>K20/K22</f>
        <v>24.600213339475062</v>
      </c>
      <c r="L21" s="6"/>
      <c r="M21" s="6"/>
      <c r="N21" s="6"/>
      <c r="O21" s="6"/>
    </row>
    <row r="22" spans="1:15">
      <c r="A22" s="6" t="s">
        <v>20</v>
      </c>
      <c r="B22" s="6">
        <v>1002</v>
      </c>
      <c r="C22" s="6">
        <v>988</v>
      </c>
      <c r="D22" s="121">
        <v>968</v>
      </c>
      <c r="E22" s="121">
        <v>944</v>
      </c>
      <c r="F22" s="121">
        <v>925</v>
      </c>
      <c r="G22" s="129">
        <f>Table1[[#This Row],[2024]]*(1-2%)</f>
        <v>906.5</v>
      </c>
      <c r="H22" s="129">
        <f>Table1[[#This Row],[2025E]]*(1-Assumptions!F9)</f>
        <v>888.37</v>
      </c>
      <c r="I22" s="129">
        <f>Table1[[#This Row],[2026E]]*(1-Assumptions!F9)</f>
        <v>870.60259999999994</v>
      </c>
      <c r="J22" s="129">
        <f>Table1[[#This Row],[2027E]]*(1-Assumptions!F9)</f>
        <v>853.19054799999992</v>
      </c>
      <c r="K22" s="129">
        <f>Table1[[#This Row],[2028E]]*(1-Assumptions!F9)</f>
        <v>836.12673703999985</v>
      </c>
      <c r="L22" s="6"/>
      <c r="M22" s="6"/>
      <c r="N22" s="6"/>
      <c r="O22" s="6"/>
    </row>
    <row r="23" spans="1:15">
      <c r="A23" s="6" t="s">
        <v>21</v>
      </c>
      <c r="B23" s="6">
        <v>6.37</v>
      </c>
      <c r="C23" s="6">
        <v>8.76</v>
      </c>
      <c r="D23" s="132">
        <v>10.220000000000001</v>
      </c>
      <c r="E23" s="132">
        <v>11.83</v>
      </c>
      <c r="F23" s="132">
        <v>13.89</v>
      </c>
      <c r="G23" s="129">
        <f>G20/G24</f>
        <v>15.456184466019421</v>
      </c>
      <c r="H23" s="129">
        <f>H20/H24</f>
        <v>17.731402077613296</v>
      </c>
      <c r="I23" s="129">
        <f>I20/I24</f>
        <v>19.956159865919258</v>
      </c>
      <c r="J23" s="129">
        <f>J20/J24</f>
        <v>22.241379176149984</v>
      </c>
      <c r="K23" s="129">
        <f>K20/K24</f>
        <v>24.54713844553876</v>
      </c>
      <c r="L23" s="6"/>
      <c r="M23" s="6"/>
      <c r="N23" s="6"/>
      <c r="O23" s="6"/>
    </row>
    <row r="24" spans="1:15">
      <c r="A24" s="6" t="s">
        <v>22</v>
      </c>
      <c r="B24" s="6">
        <v>1006</v>
      </c>
      <c r="C24" s="6">
        <v>992</v>
      </c>
      <c r="D24" s="121">
        <v>971</v>
      </c>
      <c r="E24" s="121">
        <v>946</v>
      </c>
      <c r="F24" s="121">
        <v>927</v>
      </c>
      <c r="G24" s="131">
        <f>Table1[[#This Row],[2024]]*(1-Assumptions!F9)</f>
        <v>908.46</v>
      </c>
      <c r="H24" s="131">
        <f>Table1[[#This Row],[2025E]]*(1-Assumptions!F9)</f>
        <v>890.29079999999999</v>
      </c>
      <c r="I24" s="129">
        <f>Table1[[#This Row],[2026E]]*(1-Assumptions!F9)</f>
        <v>872.48498399999994</v>
      </c>
      <c r="J24" s="129">
        <f>Table1[[#This Row],[2027E]]*(1-Assumptions!F9)</f>
        <v>855.03528431999996</v>
      </c>
      <c r="K24" s="129">
        <f>Table1[[#This Row],[2028E]]*(1-Assumptions!F9)</f>
        <v>837.93457863359993</v>
      </c>
      <c r="L24" s="6"/>
      <c r="M24" s="6"/>
      <c r="N24" s="6"/>
      <c r="O24" s="6"/>
    </row>
    <row r="25" spans="1:15">
      <c r="A25" s="6" t="s">
        <v>143</v>
      </c>
      <c r="B25" s="6">
        <f>B11+B8</f>
        <v>8661</v>
      </c>
      <c r="C25" s="6">
        <f t="shared" ref="C25:F25" si="0">C11+C8</f>
        <v>10808</v>
      </c>
      <c r="D25" s="6">
        <f t="shared" si="0"/>
        <v>13014</v>
      </c>
      <c r="E25" s="6">
        <f t="shared" si="0"/>
        <v>14807</v>
      </c>
      <c r="F25" s="6">
        <f t="shared" si="0"/>
        <v>16479</v>
      </c>
      <c r="G25" s="172">
        <f>G11+G8</f>
        <v>18164.713500000002</v>
      </c>
      <c r="H25" s="172">
        <f>H11+H8</f>
        <v>20305.728720000003</v>
      </c>
      <c r="I25" s="172">
        <f>I11+I8</f>
        <v>22310.217589950007</v>
      </c>
      <c r="J25" s="172">
        <f>J11+J8</f>
        <v>24297.465761748008</v>
      </c>
      <c r="K25" s="172">
        <f>K11+K8</f>
        <v>26227.09286916571</v>
      </c>
      <c r="L25" s="6"/>
      <c r="M25" s="6"/>
      <c r="N25" s="6"/>
      <c r="O25" s="6"/>
    </row>
    <row r="26" spans="1:15">
      <c r="A26" s="6" t="s">
        <v>144</v>
      </c>
      <c r="B26" s="40">
        <f t="shared" ref="B26:F26" si="1">B11/B4</f>
        <v>0.52813541598588332</v>
      </c>
      <c r="C26" s="40">
        <f t="shared" si="1"/>
        <v>0.53389112476170308</v>
      </c>
      <c r="D26" s="40">
        <f t="shared" si="1"/>
        <v>0.55151324369294419</v>
      </c>
      <c r="E26" s="40">
        <f t="shared" si="1"/>
        <v>0.55813212208144081</v>
      </c>
      <c r="F26" s="40">
        <f t="shared" si="1"/>
        <v>0.55320055383959954</v>
      </c>
      <c r="G26" s="129">
        <f>G11/G4</f>
        <v>0.55000000000000004</v>
      </c>
      <c r="H26" s="129">
        <f>H11/H4</f>
        <v>0.55999999999999994</v>
      </c>
      <c r="I26" s="129">
        <f>I11/I4</f>
        <v>0.56499999999999995</v>
      </c>
      <c r="J26" s="129">
        <f>J11/J4</f>
        <v>0.57000000000000006</v>
      </c>
      <c r="K26" s="129">
        <f>K11/K4</f>
        <v>0.57499999999999996</v>
      </c>
      <c r="L26" s="6"/>
      <c r="M26" s="6"/>
      <c r="N26" s="6"/>
      <c r="O26" s="6"/>
    </row>
    <row r="27" spans="1:15">
      <c r="A27" s="6" t="s">
        <v>145</v>
      </c>
      <c r="B27" s="40">
        <f t="shared" ref="B27:K27" si="2">B20/B4</f>
        <v>0.41899222273054049</v>
      </c>
      <c r="C27" s="40">
        <f t="shared" si="2"/>
        <v>0.46001906375767848</v>
      </c>
      <c r="D27" s="40">
        <f t="shared" si="2"/>
        <v>0.44655304222691911</v>
      </c>
      <c r="E27" s="40">
        <f t="shared" si="2"/>
        <v>0.44605147820543467</v>
      </c>
      <c r="F27" s="40">
        <f t="shared" si="2"/>
        <v>0.45705967976710332</v>
      </c>
      <c r="G27" s="129">
        <f>G20/G4</f>
        <v>0.44910152478604931</v>
      </c>
      <c r="H27" s="129">
        <f t="shared" si="2"/>
        <v>0.45900636277017148</v>
      </c>
      <c r="I27" s="129">
        <f t="shared" si="2"/>
        <v>0.46446413034092882</v>
      </c>
      <c r="J27" s="129">
        <f t="shared" si="2"/>
        <v>0.46972020297749828</v>
      </c>
      <c r="K27" s="129">
        <f t="shared" si="2"/>
        <v>0.47481091696560923</v>
      </c>
      <c r="L27" s="6"/>
      <c r="M27" s="6"/>
      <c r="N27" s="6"/>
      <c r="O27" s="6"/>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296EF-2B46-4F41-8962-FBF51CF1CE27}">
  <dimension ref="A1:N48"/>
  <sheetViews>
    <sheetView topLeftCell="A17" zoomScale="67" zoomScaleNormal="80" workbookViewId="0"/>
  </sheetViews>
  <sheetFormatPr defaultRowHeight="14"/>
  <cols>
    <col min="1" max="1" width="68" customWidth="1"/>
    <col min="2" max="2" width="12.1640625" customWidth="1"/>
    <col min="3" max="3" width="10.1640625" customWidth="1"/>
    <col min="4" max="4" width="13" customWidth="1"/>
    <col min="5" max="5" width="12.83203125" customWidth="1"/>
    <col min="6" max="6" width="13.4140625" customWidth="1"/>
    <col min="7" max="7" width="12" customWidth="1"/>
    <col min="8" max="8" width="12.4140625" customWidth="1"/>
    <col min="9" max="9" width="11.83203125" customWidth="1"/>
    <col min="10" max="10" width="12.4140625" customWidth="1"/>
    <col min="11" max="11" width="11.75" customWidth="1"/>
    <col min="13" max="14" width="12.75" customWidth="1"/>
  </cols>
  <sheetData>
    <row r="1" spans="1:14">
      <c r="A1" s="5" t="s">
        <v>24</v>
      </c>
      <c r="B1" s="5" t="s">
        <v>117</v>
      </c>
      <c r="C1" s="5" t="s">
        <v>118</v>
      </c>
      <c r="D1" s="123" t="s">
        <v>119</v>
      </c>
      <c r="E1" s="123" t="s">
        <v>120</v>
      </c>
      <c r="F1" s="123" t="s">
        <v>121</v>
      </c>
      <c r="G1" s="124" t="s">
        <v>124</v>
      </c>
      <c r="H1" s="124" t="s">
        <v>125</v>
      </c>
      <c r="I1" s="124" t="s">
        <v>126</v>
      </c>
      <c r="J1" s="124" t="s">
        <v>127</v>
      </c>
      <c r="K1" s="124" t="s">
        <v>128</v>
      </c>
      <c r="L1" s="6"/>
      <c r="M1" s="6"/>
      <c r="N1" s="6"/>
    </row>
    <row r="2" spans="1:14">
      <c r="A2" s="5" t="s">
        <v>142</v>
      </c>
      <c r="B2" s="6"/>
      <c r="C2" s="6"/>
      <c r="D2" s="119" t="s">
        <v>23</v>
      </c>
      <c r="E2" s="119" t="s">
        <v>23</v>
      </c>
      <c r="F2" s="119" t="s">
        <v>23</v>
      </c>
      <c r="G2" s="125"/>
      <c r="H2" s="126"/>
      <c r="I2" s="126"/>
      <c r="J2" s="126"/>
      <c r="K2" s="126"/>
      <c r="L2" s="6"/>
      <c r="M2" s="5" t="s">
        <v>525</v>
      </c>
      <c r="N2" s="72" t="s">
        <v>527</v>
      </c>
    </row>
    <row r="3" spans="1:14">
      <c r="A3" s="5" t="s">
        <v>25</v>
      </c>
      <c r="B3" s="6"/>
      <c r="C3" s="6"/>
      <c r="D3" s="119"/>
      <c r="E3" s="119"/>
      <c r="F3" s="119"/>
      <c r="G3" s="127"/>
      <c r="H3" s="127"/>
      <c r="I3" s="127"/>
      <c r="J3" s="127"/>
      <c r="K3" s="127"/>
      <c r="L3" s="6"/>
      <c r="M3" s="5" t="s">
        <v>526</v>
      </c>
      <c r="N3" s="73" t="s">
        <v>528</v>
      </c>
    </row>
    <row r="4" spans="1:14">
      <c r="A4" s="6" t="s">
        <v>26</v>
      </c>
      <c r="B4" s="6">
        <v>10113</v>
      </c>
      <c r="C4" s="6">
        <v>7421</v>
      </c>
      <c r="D4" s="120">
        <v>7008</v>
      </c>
      <c r="E4" s="120">
        <v>8588</v>
      </c>
      <c r="F4" s="120">
        <v>8442</v>
      </c>
      <c r="G4" s="128">
        <f>'Cash Flow'!G54</f>
        <v>13504.262468999999</v>
      </c>
      <c r="H4" s="128">
        <f>'Cash Flow'!H54</f>
        <v>18359.46274065999</v>
      </c>
      <c r="I4" s="128">
        <f>'Cash Flow'!I54</f>
        <v>23602.21749495159</v>
      </c>
      <c r="J4" s="128">
        <f>'Cash Flow'!J54</f>
        <v>29153.571398202937</v>
      </c>
      <c r="K4" s="128">
        <f>'Cash Flow'!K54</f>
        <v>34906.025031845304</v>
      </c>
      <c r="L4" s="6"/>
      <c r="M4" s="6"/>
      <c r="N4" s="6"/>
    </row>
    <row r="5" spans="1:14">
      <c r="A5" s="6" t="s">
        <v>27</v>
      </c>
      <c r="B5" s="6">
        <v>586</v>
      </c>
      <c r="C5" s="6">
        <v>586</v>
      </c>
      <c r="D5" s="121">
        <v>589</v>
      </c>
      <c r="E5" s="121">
        <v>32</v>
      </c>
      <c r="F5" s="121">
        <v>492</v>
      </c>
      <c r="G5" s="118">
        <v>492</v>
      </c>
      <c r="H5" s="118">
        <v>492</v>
      </c>
      <c r="I5" s="118">
        <v>492</v>
      </c>
      <c r="J5" s="118">
        <v>492</v>
      </c>
      <c r="K5" s="118">
        <v>492</v>
      </c>
      <c r="L5" s="6"/>
      <c r="M5" s="6"/>
      <c r="N5" s="6"/>
    </row>
    <row r="6" spans="1:14">
      <c r="A6" s="6" t="s">
        <v>28</v>
      </c>
      <c r="B6" s="6">
        <v>483</v>
      </c>
      <c r="C6" s="6">
        <v>473</v>
      </c>
      <c r="D6" s="121">
        <v>400</v>
      </c>
      <c r="E6" s="121">
        <v>1845</v>
      </c>
      <c r="F6" s="121">
        <v>1874</v>
      </c>
      <c r="G6" s="118">
        <v>1874</v>
      </c>
      <c r="H6" s="118">
        <v>1874</v>
      </c>
      <c r="I6" s="118">
        <v>1874</v>
      </c>
      <c r="J6" s="118">
        <v>1874</v>
      </c>
      <c r="K6" s="118">
        <v>1874</v>
      </c>
      <c r="L6" s="6"/>
      <c r="M6" s="6"/>
      <c r="N6" s="6"/>
    </row>
    <row r="7" spans="1:14">
      <c r="A7" s="6" t="s">
        <v>29</v>
      </c>
      <c r="B7" s="6">
        <v>2646</v>
      </c>
      <c r="C7" s="6">
        <v>3006</v>
      </c>
      <c r="D7" s="121">
        <v>3425</v>
      </c>
      <c r="E7" s="121">
        <v>592</v>
      </c>
      <c r="F7" s="121">
        <v>330</v>
      </c>
      <c r="G7" s="125">
        <f>'Profit Loss'!G4*Assumptions!B36</f>
        <v>365.80482900000004</v>
      </c>
      <c r="H7" s="125">
        <f>'Profit Loss'!H4*Assumptions!B36</f>
        <v>402.38531190000009</v>
      </c>
      <c r="I7" s="125">
        <f>'Profit Loss'!I4*Assumptions!B36</f>
        <v>438.59998997100013</v>
      </c>
      <c r="J7" s="178">
        <f>'Profit Loss'!J4*Assumptions!B36</f>
        <v>473.68798916868013</v>
      </c>
      <c r="K7" s="178">
        <f>'Profit Loss'!K4*Assumptions!B36</f>
        <v>506.84614841048779</v>
      </c>
      <c r="L7" s="6"/>
      <c r="M7" s="6"/>
      <c r="N7" s="6"/>
    </row>
    <row r="8" spans="1:14">
      <c r="A8" s="6" t="s">
        <v>30</v>
      </c>
      <c r="B8" s="6">
        <v>1706</v>
      </c>
      <c r="C8" s="6">
        <v>1319</v>
      </c>
      <c r="D8" s="121">
        <v>1270</v>
      </c>
      <c r="E8" s="121">
        <v>4060</v>
      </c>
      <c r="F8" s="121">
        <v>3773</v>
      </c>
      <c r="G8" s="118">
        <f>'Profit Loss'!G4*Assumptions!B37</f>
        <v>4189.559580000001</v>
      </c>
      <c r="H8" s="118">
        <f>'Profit Loss'!H4*Assumptions!B37</f>
        <v>4608.5155380000015</v>
      </c>
      <c r="I8" s="118">
        <f>'Profit Loss'!I4*Assumptions!B37</f>
        <v>5023.2819364200013</v>
      </c>
      <c r="J8" s="118">
        <f>'Profit Loss'!J4*Assumptions!B37</f>
        <v>5425.1444913336018</v>
      </c>
      <c r="K8" s="118">
        <f>'Profit Loss'!K4*Assumptions!B37</f>
        <v>5804.9046057269543</v>
      </c>
      <c r="L8" s="6"/>
      <c r="M8" s="6"/>
      <c r="N8" s="6"/>
    </row>
    <row r="9" spans="1:14">
      <c r="A9" s="6" t="s">
        <v>31</v>
      </c>
      <c r="B9" s="6">
        <v>1696</v>
      </c>
      <c r="C9" s="6">
        <v>1873</v>
      </c>
      <c r="D9" s="121">
        <v>1568</v>
      </c>
      <c r="E9" s="121">
        <v>1233</v>
      </c>
      <c r="F9" s="121">
        <v>1821</v>
      </c>
      <c r="G9" s="118">
        <v>1821</v>
      </c>
      <c r="H9" s="118">
        <v>1821</v>
      </c>
      <c r="I9" s="118">
        <v>1821</v>
      </c>
      <c r="J9" s="118">
        <v>1821</v>
      </c>
      <c r="K9" s="118">
        <v>1821</v>
      </c>
      <c r="L9" s="6"/>
      <c r="M9" s="6"/>
      <c r="N9" s="6"/>
    </row>
    <row r="10" spans="1:14">
      <c r="A10" s="6" t="s">
        <v>32</v>
      </c>
      <c r="B10" s="6">
        <v>1883</v>
      </c>
      <c r="C10" s="6">
        <v>2271</v>
      </c>
      <c r="D10" s="121">
        <v>2346</v>
      </c>
      <c r="E10" s="121">
        <v>2611</v>
      </c>
      <c r="F10" s="121">
        <v>2992</v>
      </c>
      <c r="G10" s="118">
        <f>'Profit Loss'!G4*Assumptions!B38</f>
        <v>2501.2296000000001</v>
      </c>
      <c r="H10" s="118">
        <f>'Profit Loss'!H4*Assumptions!B38</f>
        <v>2751.3525600000007</v>
      </c>
      <c r="I10" s="179">
        <f>'Profit Loss'!I4*Assumptions!B38</f>
        <v>2998.9742904000009</v>
      </c>
      <c r="J10" s="179">
        <f>'Profit Loss'!J4*Assumptions!B38</f>
        <v>3238.8922336320011</v>
      </c>
      <c r="K10" s="179">
        <f>'Profit Loss'!K4*Assumptions!B38</f>
        <v>3465.6146899862415</v>
      </c>
      <c r="L10" s="6"/>
      <c r="M10" s="6"/>
      <c r="N10" s="6"/>
    </row>
    <row r="11" spans="1:14">
      <c r="A11" s="6" t="s">
        <v>33</v>
      </c>
      <c r="B11" s="40">
        <f t="shared" ref="B11:E11" si="0">SUM(B4:B10)</f>
        <v>19113</v>
      </c>
      <c r="C11" s="40">
        <f t="shared" si="0"/>
        <v>16949</v>
      </c>
      <c r="D11" s="40">
        <f t="shared" si="0"/>
        <v>16606</v>
      </c>
      <c r="E11" s="40">
        <f t="shared" si="0"/>
        <v>18961</v>
      </c>
      <c r="F11" s="40">
        <f t="shared" ref="F11:K11" si="1">SUM(F4:F10)</f>
        <v>19724</v>
      </c>
      <c r="G11" s="129">
        <f>SUM(G4:G10)</f>
        <v>24747.856478000002</v>
      </c>
      <c r="H11" s="129">
        <f t="shared" si="1"/>
        <v>30308.716150559994</v>
      </c>
      <c r="I11" s="129">
        <f t="shared" si="1"/>
        <v>36250.073711742589</v>
      </c>
      <c r="J11" s="129">
        <f t="shared" si="1"/>
        <v>42478.296112337222</v>
      </c>
      <c r="K11" s="129">
        <f t="shared" si="1"/>
        <v>48870.390475968983</v>
      </c>
      <c r="L11" s="6"/>
      <c r="M11" s="6"/>
      <c r="N11" s="6"/>
    </row>
    <row r="12" spans="1:14">
      <c r="A12" s="6" t="s">
        <v>34</v>
      </c>
      <c r="B12" s="6">
        <v>1902</v>
      </c>
      <c r="C12" s="6">
        <v>1907</v>
      </c>
      <c r="D12" s="121">
        <v>2006</v>
      </c>
      <c r="E12" s="121">
        <v>2061</v>
      </c>
      <c r="F12" s="121">
        <v>2138</v>
      </c>
      <c r="G12" s="125">
        <f>Table2[[#This Row],[2024]]*(1+Assumptions!B7)</f>
        <v>2223.52</v>
      </c>
      <c r="H12" s="127">
        <f>Table2[[#This Row],[2025E]]*(1+Assumptions!B7)</f>
        <v>2312.4607999999998</v>
      </c>
      <c r="I12" s="127">
        <f>Table2[[#This Row],[2026E]]*(1+Assumptions!B7)</f>
        <v>2404.9592319999997</v>
      </c>
      <c r="J12" s="127">
        <f>Table2[[#This Row],[2027E]]*(1+Assumptions!B7)</f>
        <v>2501.1576012799997</v>
      </c>
      <c r="K12" s="127">
        <f>Table2[[#This Row],[2028E]]*(1+Assumptions!B7)</f>
        <v>2601.2039053311996</v>
      </c>
      <c r="L12" s="6"/>
      <c r="M12" s="6"/>
      <c r="N12" s="6"/>
    </row>
    <row r="13" spans="1:14">
      <c r="A13" s="6" t="s">
        <v>35</v>
      </c>
      <c r="B13" s="6">
        <v>491</v>
      </c>
      <c r="C13" s="6">
        <v>486</v>
      </c>
      <c r="D13" s="121">
        <v>1151</v>
      </c>
      <c r="E13" s="121">
        <v>1355</v>
      </c>
      <c r="F13" s="121">
        <v>1614</v>
      </c>
      <c r="G13" s="118">
        <v>1614</v>
      </c>
      <c r="H13" s="118">
        <v>1614</v>
      </c>
      <c r="I13" s="118">
        <v>1614</v>
      </c>
      <c r="J13" s="118">
        <v>1614</v>
      </c>
      <c r="K13" s="118">
        <v>1614</v>
      </c>
      <c r="L13" s="6"/>
      <c r="M13" s="6"/>
      <c r="N13" s="6"/>
    </row>
    <row r="14" spans="1:14">
      <c r="A14" s="6" t="s">
        <v>36</v>
      </c>
      <c r="B14" s="6">
        <v>4960</v>
      </c>
      <c r="C14" s="6">
        <v>7662</v>
      </c>
      <c r="D14" s="121">
        <v>7522</v>
      </c>
      <c r="E14" s="121">
        <v>7660</v>
      </c>
      <c r="F14" s="121">
        <v>9193</v>
      </c>
      <c r="G14" s="118">
        <v>9193</v>
      </c>
      <c r="H14" s="118">
        <v>9193</v>
      </c>
      <c r="I14" s="118">
        <v>9193</v>
      </c>
      <c r="J14" s="118">
        <v>9193</v>
      </c>
      <c r="K14" s="118">
        <v>9193</v>
      </c>
      <c r="L14" s="6"/>
      <c r="M14" s="6"/>
      <c r="N14" s="6"/>
    </row>
    <row r="15" spans="1:14">
      <c r="A15" s="6" t="s">
        <v>37</v>
      </c>
      <c r="B15" s="6">
        <v>1753</v>
      </c>
      <c r="C15" s="6">
        <v>3671</v>
      </c>
      <c r="D15" s="121">
        <v>3859</v>
      </c>
      <c r="E15" s="121">
        <v>4086</v>
      </c>
      <c r="F15" s="121">
        <v>5453</v>
      </c>
      <c r="G15" s="125">
        <f>Table2[[#This Row],[2024]]*(1+Assumptions!B8)</f>
        <v>5616.59</v>
      </c>
      <c r="H15" s="127">
        <f>Table2[[#This Row],[2025E]]*(1+Assumptions!B8)</f>
        <v>5785.0877</v>
      </c>
      <c r="I15" s="127">
        <f>Table2[[#This Row],[2026E]]*(1+Assumptions!B8)</f>
        <v>5958.6403310000005</v>
      </c>
      <c r="J15" s="127">
        <f>Table2[[#This Row],[2027E]]*(1+Assumptions!B8)</f>
        <v>6137.3995409300005</v>
      </c>
      <c r="K15" s="127">
        <f>Table2[[#This Row],[2028E]]*(1+Assumptions!B8)</f>
        <v>6321.5215271579009</v>
      </c>
      <c r="L15" s="6"/>
      <c r="M15" s="6"/>
      <c r="N15" s="6"/>
    </row>
    <row r="16" spans="1:14">
      <c r="A16" s="6" t="s">
        <v>912</v>
      </c>
      <c r="B16" s="6">
        <f t="shared" ref="B16:K16" si="2">B4+B5</f>
        <v>10699</v>
      </c>
      <c r="C16" s="6">
        <f t="shared" si="2"/>
        <v>8007</v>
      </c>
      <c r="D16" s="6">
        <f t="shared" si="2"/>
        <v>7597</v>
      </c>
      <c r="E16" s="6">
        <f t="shared" si="2"/>
        <v>8620</v>
      </c>
      <c r="F16" s="6">
        <f t="shared" si="2"/>
        <v>8934</v>
      </c>
      <c r="G16" s="172">
        <f t="shared" si="2"/>
        <v>13996.262468999999</v>
      </c>
      <c r="H16" s="172">
        <f t="shared" si="2"/>
        <v>18851.46274065999</v>
      </c>
      <c r="I16" s="172">
        <f t="shared" si="2"/>
        <v>24094.21749495159</v>
      </c>
      <c r="J16" s="66">
        <f t="shared" si="2"/>
        <v>29645.571398202937</v>
      </c>
      <c r="K16" s="66">
        <f t="shared" si="2"/>
        <v>35398.025031845304</v>
      </c>
      <c r="L16" s="6"/>
      <c r="M16" s="6"/>
      <c r="N16" s="6"/>
    </row>
    <row r="17" spans="1:14">
      <c r="A17" s="6" t="s">
        <v>38</v>
      </c>
      <c r="B17" s="6">
        <v>5365</v>
      </c>
      <c r="C17" s="6">
        <v>6994</v>
      </c>
      <c r="D17" s="121">
        <v>7580</v>
      </c>
      <c r="E17" s="121">
        <v>8325</v>
      </c>
      <c r="F17" s="121">
        <v>9959</v>
      </c>
      <c r="G17" s="125">
        <f>'Profit Loss'!G4*Assumptions!B41</f>
        <v>11052.308295000001</v>
      </c>
      <c r="H17" s="125">
        <f>'Profit Loss'!H4*Assumptions!B41</f>
        <v>12157.539124500001</v>
      </c>
      <c r="I17" s="125">
        <f>'Profit Loss'!I4*Assumptions!B41</f>
        <v>13251.717645705003</v>
      </c>
      <c r="J17" s="125">
        <f>'Profit Loss'!J4*Assumptions!B41</f>
        <v>14311.855057361403</v>
      </c>
      <c r="K17" s="125">
        <f>'Profit Loss'!K4*Assumptions!B41</f>
        <v>15313.684911376702</v>
      </c>
      <c r="L17" s="6"/>
      <c r="M17" s="6"/>
      <c r="N17" s="6"/>
    </row>
    <row r="18" spans="1:14">
      <c r="A18" s="66" t="s">
        <v>39</v>
      </c>
      <c r="B18" s="66">
        <v>33584</v>
      </c>
      <c r="C18" s="66">
        <v>37669</v>
      </c>
      <c r="D18" s="118">
        <v>38724</v>
      </c>
      <c r="E18" s="118">
        <v>42448</v>
      </c>
      <c r="F18" s="118">
        <v>48081</v>
      </c>
      <c r="G18" s="125">
        <f>G31+G41</f>
        <v>58699.683458000029</v>
      </c>
      <c r="H18" s="125">
        <f>H31+H41</f>
        <v>70535.501528560024</v>
      </c>
      <c r="I18" s="125">
        <f>I31+I41</f>
        <v>83458.480351762613</v>
      </c>
      <c r="J18" s="125">
        <f>J31+J41</f>
        <v>97406.625235148851</v>
      </c>
      <c r="K18" s="125">
        <f>K31+K41</f>
        <v>112292.29073945982</v>
      </c>
      <c r="L18" s="6"/>
      <c r="M18" s="6"/>
      <c r="N18" s="6"/>
    </row>
    <row r="19" spans="1:14">
      <c r="A19" s="5" t="s">
        <v>40</v>
      </c>
      <c r="B19" s="6"/>
      <c r="C19" s="6"/>
      <c r="D19" s="119" t="s">
        <v>23</v>
      </c>
      <c r="E19" s="119" t="s">
        <v>23</v>
      </c>
      <c r="F19" s="119" t="s">
        <v>23</v>
      </c>
      <c r="G19" s="125"/>
      <c r="H19" s="126"/>
      <c r="I19" s="126"/>
      <c r="J19" s="126"/>
      <c r="K19" s="126"/>
      <c r="L19" s="6"/>
      <c r="M19" s="6"/>
      <c r="N19" s="6"/>
    </row>
    <row r="20" spans="1:14">
      <c r="A20" s="6" t="s">
        <v>41</v>
      </c>
      <c r="B20" s="6">
        <v>527</v>
      </c>
      <c r="C20" s="6">
        <v>738</v>
      </c>
      <c r="D20" s="121">
        <v>926</v>
      </c>
      <c r="E20" s="121">
        <v>834</v>
      </c>
      <c r="F20" s="121">
        <v>929</v>
      </c>
      <c r="G20" s="125">
        <f>'Profit Loss'!G4*3.3%</f>
        <v>1031.7572100000002</v>
      </c>
      <c r="H20" s="125">
        <f>'Profit Loss'!H4*3.3%</f>
        <v>1134.9329310000003</v>
      </c>
      <c r="I20" s="125">
        <f>'Profit Loss'!I4*3.3%</f>
        <v>1237.0768947900003</v>
      </c>
      <c r="J20" s="125">
        <f>'Profit Loss'!J4*3.3%</f>
        <v>1336.0430463732005</v>
      </c>
      <c r="K20" s="125">
        <f>'Profit Loss'!K4*3.3%</f>
        <v>1429.5660596193245</v>
      </c>
      <c r="L20" s="6"/>
      <c r="M20" s="6"/>
      <c r="N20" s="6"/>
    </row>
    <row r="21" spans="1:14">
      <c r="A21" s="6" t="s">
        <v>42</v>
      </c>
      <c r="B21" s="6">
        <v>1475</v>
      </c>
      <c r="C21" s="6">
        <v>913</v>
      </c>
      <c r="D21" s="121">
        <v>1111</v>
      </c>
      <c r="E21" s="121">
        <v>1399</v>
      </c>
      <c r="F21" s="121">
        <v>2316</v>
      </c>
      <c r="G21" s="125">
        <f>'Profit Loss'!G4*8.2%</f>
        <v>2563.7603399999998</v>
      </c>
      <c r="H21" s="125">
        <f>'Profit Loss'!H4*8.2%</f>
        <v>2820.1363740000002</v>
      </c>
      <c r="I21" s="125">
        <f>'Profit Loss'!I4*8.2%</f>
        <v>3073.9486476600005</v>
      </c>
      <c r="J21" s="125">
        <f>'Profit Loss'!J4*8.2%</f>
        <v>3319.8645394728005</v>
      </c>
      <c r="K21" s="125">
        <f>'Profit Loss'!K4*8.2%</f>
        <v>3552.2550572358969</v>
      </c>
      <c r="L21" s="6"/>
      <c r="M21" s="6"/>
      <c r="N21" s="6"/>
    </row>
    <row r="22" spans="1:14">
      <c r="A22" s="6" t="s">
        <v>31</v>
      </c>
      <c r="B22" s="6">
        <v>1696</v>
      </c>
      <c r="C22" s="6">
        <v>1873</v>
      </c>
      <c r="D22" s="121">
        <v>1568</v>
      </c>
      <c r="E22" s="121">
        <v>1845</v>
      </c>
      <c r="F22" s="121">
        <v>1874</v>
      </c>
      <c r="G22" s="118">
        <v>1874</v>
      </c>
      <c r="H22" s="118">
        <v>1874</v>
      </c>
      <c r="I22" s="118">
        <v>1874</v>
      </c>
      <c r="J22" s="118">
        <v>1874</v>
      </c>
      <c r="K22" s="118">
        <v>1874</v>
      </c>
      <c r="L22" s="6"/>
      <c r="M22" s="6"/>
      <c r="N22" s="6"/>
    </row>
    <row r="23" spans="1:14">
      <c r="A23" s="6" t="s">
        <v>43</v>
      </c>
      <c r="B23" s="6">
        <v>842</v>
      </c>
      <c r="C23" s="6">
        <v>840</v>
      </c>
      <c r="D23" s="121">
        <v>1094</v>
      </c>
      <c r="E23" s="121">
        <v>723</v>
      </c>
      <c r="F23" s="121">
        <v>930</v>
      </c>
      <c r="G23" s="118">
        <v>930</v>
      </c>
      <c r="H23" s="118">
        <v>930</v>
      </c>
      <c r="I23" s="118">
        <v>930</v>
      </c>
      <c r="J23" s="118">
        <v>930</v>
      </c>
      <c r="K23" s="118">
        <v>930</v>
      </c>
      <c r="L23" s="6"/>
      <c r="M23" s="6"/>
      <c r="N23" s="6"/>
    </row>
    <row r="24" spans="1:14">
      <c r="A24" s="6" t="s">
        <v>44</v>
      </c>
      <c r="B24" s="6">
        <v>5430</v>
      </c>
      <c r="C24" s="6">
        <v>6642</v>
      </c>
      <c r="D24" s="121">
        <v>7801</v>
      </c>
      <c r="E24" s="121">
        <v>8517</v>
      </c>
      <c r="F24" s="121">
        <v>10393</v>
      </c>
      <c r="G24" s="125">
        <f>'Profit Loss'!G4*Assumptions!B40</f>
        <v>11536.921530000001</v>
      </c>
      <c r="H24" s="125">
        <f>'Profit Loss'!H4*Assumptions!B40</f>
        <v>12690.613683000001</v>
      </c>
      <c r="I24" s="125">
        <f>'Profit Loss'!I4*Assumptions!B40</f>
        <v>13832.768914470003</v>
      </c>
      <c r="J24" s="125">
        <f>'Profit Loss'!J4*Assumptions!B40</f>
        <v>14939.390427627604</v>
      </c>
      <c r="K24" s="125">
        <f>'Profit Loss'!K4*Assumptions!B40</f>
        <v>15985.147757561537</v>
      </c>
      <c r="L24" s="6"/>
      <c r="M24" s="6"/>
      <c r="N24" s="6"/>
    </row>
    <row r="25" spans="1:14">
      <c r="A25" s="6" t="s">
        <v>45</v>
      </c>
      <c r="B25" s="6">
        <v>649</v>
      </c>
      <c r="C25" s="6">
        <v>792</v>
      </c>
      <c r="D25" s="121">
        <v>274</v>
      </c>
      <c r="E25" s="121">
        <v>1337</v>
      </c>
      <c r="F25" s="121">
        <v>750</v>
      </c>
      <c r="G25" s="118">
        <v>750</v>
      </c>
      <c r="H25" s="118">
        <v>750</v>
      </c>
      <c r="I25" s="118">
        <v>750</v>
      </c>
      <c r="J25" s="118">
        <v>750</v>
      </c>
      <c r="K25" s="118">
        <v>750</v>
      </c>
      <c r="L25" s="6"/>
      <c r="M25" s="6"/>
      <c r="N25" s="6"/>
    </row>
    <row r="26" spans="1:14">
      <c r="A26" s="6" t="s">
        <v>46</v>
      </c>
      <c r="B26" s="6">
        <v>1228</v>
      </c>
      <c r="C26" s="6">
        <v>1364</v>
      </c>
      <c r="D26" s="121">
        <v>1397</v>
      </c>
      <c r="E26" s="121">
        <v>1609</v>
      </c>
      <c r="F26" s="121">
        <v>2028</v>
      </c>
      <c r="G26" s="125">
        <f>'Profit Loss'!G4*7.2%</f>
        <v>2251.1066400000004</v>
      </c>
      <c r="H26" s="125">
        <f>'Profit Loss'!H4*7.2%</f>
        <v>2476.2173040000007</v>
      </c>
      <c r="I26" s="125">
        <f>'Profit Loss'!I4*7.2%</f>
        <v>2699.0768613600012</v>
      </c>
      <c r="J26" s="125">
        <f>'Profit Loss'!J4*7.2%</f>
        <v>2915.0030102688011</v>
      </c>
      <c r="K26" s="125">
        <f>'Profit Loss'!K4*7.2%</f>
        <v>3119.0532209876174</v>
      </c>
      <c r="L26" s="6"/>
      <c r="M26" s="6"/>
      <c r="N26" s="6"/>
    </row>
    <row r="27" spans="1:14">
      <c r="A27" s="6" t="s">
        <v>47</v>
      </c>
      <c r="B27" s="6">
        <v>11847</v>
      </c>
      <c r="C27" s="6">
        <v>13162</v>
      </c>
      <c r="D27" s="121">
        <v>14171</v>
      </c>
      <c r="E27" s="121">
        <v>16264</v>
      </c>
      <c r="F27" s="121">
        <v>19220</v>
      </c>
      <c r="G27" s="118">
        <f>SUM(G20:G26)</f>
        <v>20937.545720000006</v>
      </c>
      <c r="H27" s="118">
        <f>SUM(H20:H26)</f>
        <v>22675.900292000002</v>
      </c>
      <c r="I27" s="118">
        <f>SUM(I20:I26)</f>
        <v>24396.871318280006</v>
      </c>
      <c r="J27" s="118">
        <f>SUM(J20:J26)</f>
        <v>26064.301023742406</v>
      </c>
      <c r="K27" s="118">
        <f>SUM(K20:K26)</f>
        <v>27640.022095404376</v>
      </c>
      <c r="L27" s="6"/>
      <c r="M27" s="6"/>
      <c r="N27" s="6"/>
    </row>
    <row r="28" spans="1:14">
      <c r="A28" s="6" t="s">
        <v>48</v>
      </c>
      <c r="B28" s="6">
        <v>12023</v>
      </c>
      <c r="C28" s="6">
        <v>13109</v>
      </c>
      <c r="D28" s="121">
        <v>13749</v>
      </c>
      <c r="E28" s="121">
        <v>14344</v>
      </c>
      <c r="F28" s="121">
        <v>17476</v>
      </c>
      <c r="G28" s="118">
        <v>17476</v>
      </c>
      <c r="H28" s="118">
        <v>17476</v>
      </c>
      <c r="I28" s="118">
        <v>17476</v>
      </c>
      <c r="J28" s="118">
        <v>17476</v>
      </c>
      <c r="K28" s="118">
        <v>17476</v>
      </c>
      <c r="L28" s="6"/>
      <c r="M28" s="6"/>
      <c r="N28" s="6"/>
    </row>
    <row r="29" spans="1:14">
      <c r="A29" s="6" t="s">
        <v>35</v>
      </c>
      <c r="B29" s="6">
        <v>86</v>
      </c>
      <c r="C29" s="6">
        <v>395</v>
      </c>
      <c r="D29" s="121">
        <v>393</v>
      </c>
      <c r="E29" s="121">
        <v>369</v>
      </c>
      <c r="F29" s="121">
        <v>317</v>
      </c>
      <c r="G29" s="118">
        <v>317</v>
      </c>
      <c r="H29" s="118">
        <v>317</v>
      </c>
      <c r="I29" s="118">
        <v>317</v>
      </c>
      <c r="J29" s="118">
        <v>317</v>
      </c>
      <c r="K29" s="118">
        <v>317</v>
      </c>
      <c r="L29" s="6"/>
      <c r="M29" s="6"/>
      <c r="N29" s="6"/>
    </row>
    <row r="30" spans="1:14">
      <c r="A30" s="6" t="s">
        <v>49</v>
      </c>
      <c r="B30" s="6">
        <v>3111</v>
      </c>
      <c r="C30" s="6">
        <v>3591</v>
      </c>
      <c r="D30" s="121">
        <v>4034</v>
      </c>
      <c r="E30" s="121">
        <v>4474</v>
      </c>
      <c r="F30" s="121">
        <v>4553</v>
      </c>
      <c r="G30" s="125">
        <f>Table2[[#This Row],[2024]]*(1+Assumptions!B14)</f>
        <v>5053.8300000000008</v>
      </c>
      <c r="H30" s="125">
        <f>Table2[[#This Row],[2025E]]*(1+Assumptions!B15)</f>
        <v>5559.2130000000016</v>
      </c>
      <c r="I30" s="125">
        <f>Table2[[#This Row],[2026E]]*(1+Assumptions!B16)</f>
        <v>6059.5421700000024</v>
      </c>
      <c r="J30" s="125">
        <f>Table2[[#This Row],[2027E]]*(1+Assumptions!B17)</f>
        <v>6544.3055436000031</v>
      </c>
      <c r="K30" s="125">
        <f>Table2[[#This Row],[2028E]]*(1+Assumptions!B18)</f>
        <v>7002.4069316520035</v>
      </c>
      <c r="L30" s="6"/>
      <c r="M30" s="6"/>
      <c r="N30" s="6"/>
    </row>
    <row r="31" spans="1:14">
      <c r="A31" s="66" t="s">
        <v>50</v>
      </c>
      <c r="B31" s="66">
        <v>27067</v>
      </c>
      <c r="C31" s="66">
        <v>30257</v>
      </c>
      <c r="D31" s="118">
        <v>32347</v>
      </c>
      <c r="E31" s="118">
        <v>35451</v>
      </c>
      <c r="F31" s="118">
        <v>41566</v>
      </c>
      <c r="G31" s="125">
        <f>G27+G28+G29+G30</f>
        <v>43784.375720000011</v>
      </c>
      <c r="H31" s="125">
        <f>H27+H28+H29+H30</f>
        <v>46028.113292000009</v>
      </c>
      <c r="I31" s="125">
        <f>I27+I28+I29+I30</f>
        <v>48249.413488280006</v>
      </c>
      <c r="J31" s="125">
        <f>J27+J28+J29+J30</f>
        <v>50401.606567342402</v>
      </c>
      <c r="K31" s="125">
        <f>K27+K28+K29+K30</f>
        <v>52435.42902705638</v>
      </c>
      <c r="L31" s="6"/>
      <c r="M31" s="6"/>
      <c r="N31" s="6"/>
    </row>
    <row r="32" spans="1:14">
      <c r="A32" s="6" t="s">
        <v>51</v>
      </c>
      <c r="B32" s="6" t="s">
        <v>65</v>
      </c>
      <c r="C32" s="6" t="s">
        <v>65</v>
      </c>
      <c r="D32" s="119" t="s">
        <v>65</v>
      </c>
      <c r="E32" s="119" t="s">
        <v>65</v>
      </c>
      <c r="F32" s="119" t="s">
        <v>65</v>
      </c>
      <c r="G32" s="125"/>
      <c r="H32" s="126"/>
      <c r="I32" s="126"/>
      <c r="J32" s="126"/>
      <c r="K32" s="126"/>
      <c r="L32" s="6"/>
      <c r="M32" s="6"/>
      <c r="N32" s="6"/>
    </row>
    <row r="33" spans="1:14">
      <c r="A33" s="6" t="s">
        <v>52</v>
      </c>
      <c r="B33" s="6">
        <v>29</v>
      </c>
      <c r="C33" s="6">
        <v>29</v>
      </c>
      <c r="D33" s="121">
        <v>21</v>
      </c>
      <c r="E33" s="121">
        <v>22</v>
      </c>
      <c r="F33" s="121">
        <v>0</v>
      </c>
      <c r="G33" s="125">
        <v>0</v>
      </c>
      <c r="H33" s="126">
        <v>0</v>
      </c>
      <c r="I33" s="126">
        <v>0</v>
      </c>
      <c r="J33" s="126">
        <v>0</v>
      </c>
      <c r="K33" s="126">
        <v>0</v>
      </c>
      <c r="L33" s="6"/>
      <c r="M33" s="6"/>
      <c r="N33" s="6"/>
    </row>
    <row r="34" spans="1:14">
      <c r="A34" s="5" t="s">
        <v>53</v>
      </c>
      <c r="B34" s="6"/>
      <c r="C34" s="6"/>
      <c r="D34" s="119" t="s">
        <v>23</v>
      </c>
      <c r="E34" s="119" t="s">
        <v>23</v>
      </c>
      <c r="F34" s="119" t="s">
        <v>23</v>
      </c>
      <c r="G34" s="125"/>
      <c r="H34" s="126"/>
      <c r="I34" s="126"/>
      <c r="J34" s="126"/>
      <c r="K34" s="126"/>
      <c r="L34" s="6"/>
      <c r="M34" s="6"/>
      <c r="N34" s="6"/>
    </row>
    <row r="35" spans="1:14">
      <c r="A35" s="6" t="s">
        <v>54</v>
      </c>
      <c r="B35" s="6">
        <v>4982</v>
      </c>
      <c r="C35" s="6">
        <v>5061</v>
      </c>
      <c r="D35" s="121">
        <v>5298</v>
      </c>
      <c r="E35" s="121">
        <v>5893</v>
      </c>
      <c r="F35" s="121">
        <v>6442</v>
      </c>
      <c r="G35" s="118">
        <v>6442</v>
      </c>
      <c r="H35" s="118">
        <v>6442</v>
      </c>
      <c r="I35" s="118">
        <v>6442</v>
      </c>
      <c r="J35" s="118">
        <v>6442</v>
      </c>
      <c r="K35" s="118">
        <v>6442</v>
      </c>
      <c r="L35" s="6"/>
      <c r="M35" s="6"/>
      <c r="N35" s="6"/>
    </row>
    <row r="36" spans="1:14">
      <c r="A36" s="6" t="s">
        <v>55</v>
      </c>
      <c r="B36" s="6">
        <v>-36658</v>
      </c>
      <c r="C36" s="6">
        <v>-42588</v>
      </c>
      <c r="D36" s="121">
        <v>-51354</v>
      </c>
      <c r="E36" s="121">
        <v>-60429</v>
      </c>
      <c r="F36" s="121">
        <v>-71431</v>
      </c>
      <c r="G36" s="125">
        <f>Table2[[#This Row],[2024]]*1.02</f>
        <v>-72859.62</v>
      </c>
      <c r="H36" s="125">
        <f>Table2[[#This Row],[2025E]]*1.02</f>
        <v>-74316.812399999995</v>
      </c>
      <c r="I36" s="125">
        <f>Table2[[#This Row],[2026E]]*1.02</f>
        <v>-75803.148648000002</v>
      </c>
      <c r="J36" s="125">
        <f>Table2[[#This Row],[2027E]]*1.02</f>
        <v>-77319.211620960006</v>
      </c>
      <c r="K36" s="125">
        <f>Table2[[#This Row],[2028E]]*1.02</f>
        <v>-78865.595853379215</v>
      </c>
      <c r="L36" s="6"/>
      <c r="M36" s="6"/>
      <c r="N36" s="6"/>
    </row>
    <row r="37" spans="1:14">
      <c r="A37" s="6" t="s">
        <v>56</v>
      </c>
      <c r="B37" s="6">
        <v>38747</v>
      </c>
      <c r="C37" s="6">
        <v>45648</v>
      </c>
      <c r="D37" s="121">
        <v>53607</v>
      </c>
      <c r="E37" s="121">
        <v>62564</v>
      </c>
      <c r="F37" s="121">
        <v>72907</v>
      </c>
      <c r="G37" s="125">
        <f>Table2[[#This Row],[2024]]+'Profit Loss'!G20+'Cash Flow'!G41</f>
        <v>82735.927738000013</v>
      </c>
      <c r="H37" s="125">
        <f>Table2[[#This Row],[2025E]]-1+'Profit Loss'!H20+'Cash Flow'!H41</f>
        <v>93785.20063656001</v>
      </c>
      <c r="I37" s="125">
        <f>Table2[[#This Row],[2026E]]+'Profit Loss'!I20+'Cash Flow'!I41</f>
        <v>105973.21551148262</v>
      </c>
      <c r="J37" s="125">
        <f>Table2[[#This Row],[2027E]]+'Profit Loss'!J20+'Cash Flow'!J41</f>
        <v>119285.23028876646</v>
      </c>
      <c r="K37" s="125">
        <f>Table2[[#This Row],[2028E]]+'Profit Loss'!K20+'Cash Flow'!K41</f>
        <v>133683.45756578265</v>
      </c>
      <c r="L37" s="6"/>
      <c r="M37" s="6"/>
      <c r="N37" s="6"/>
    </row>
    <row r="38" spans="1:14">
      <c r="A38" s="6" t="s">
        <v>57</v>
      </c>
      <c r="B38" s="6">
        <v>-680</v>
      </c>
      <c r="C38" s="6">
        <v>-809</v>
      </c>
      <c r="D38" s="121">
        <v>-1253</v>
      </c>
      <c r="E38" s="121">
        <v>-1099</v>
      </c>
      <c r="F38" s="121">
        <v>-1433</v>
      </c>
      <c r="G38" s="118">
        <v>-1433</v>
      </c>
      <c r="H38" s="118">
        <v>-1433</v>
      </c>
      <c r="I38" s="118">
        <v>-1433</v>
      </c>
      <c r="J38" s="118">
        <v>-1433</v>
      </c>
      <c r="K38" s="118">
        <v>-1433</v>
      </c>
      <c r="L38" s="6"/>
      <c r="M38" s="6"/>
      <c r="N38" s="6"/>
    </row>
    <row r="39" spans="1:14">
      <c r="A39" s="6" t="s">
        <v>58</v>
      </c>
      <c r="B39" s="6">
        <v>6391</v>
      </c>
      <c r="C39" s="6">
        <v>7312</v>
      </c>
      <c r="D39" s="121">
        <v>6298</v>
      </c>
      <c r="E39" s="121">
        <v>6929</v>
      </c>
      <c r="F39" s="121">
        <v>6485</v>
      </c>
      <c r="G39" s="127">
        <f>G35+G37+G36+G38</f>
        <v>14885.307738000018</v>
      </c>
      <c r="H39" s="127">
        <f>H35+H37+H36+H38</f>
        <v>24477.388236560015</v>
      </c>
      <c r="I39" s="127">
        <f>I35+I37+I36+I38</f>
        <v>35179.066863482614</v>
      </c>
      <c r="J39" s="127">
        <f>J35+J37+J36+J38</f>
        <v>46975.018667806449</v>
      </c>
      <c r="K39" s="127">
        <f>K35+K37+K36+K38</f>
        <v>59826.861712403435</v>
      </c>
      <c r="L39" s="6"/>
      <c r="M39" s="6"/>
      <c r="N39" s="6"/>
    </row>
    <row r="40" spans="1:14">
      <c r="A40" s="6" t="s">
        <v>59</v>
      </c>
      <c r="B40" s="6">
        <v>97</v>
      </c>
      <c r="C40" s="6">
        <v>71</v>
      </c>
      <c r="D40" s="121">
        <v>58</v>
      </c>
      <c r="E40" s="121">
        <v>46</v>
      </c>
      <c r="F40" s="121">
        <v>30</v>
      </c>
      <c r="G40" s="118">
        <v>30</v>
      </c>
      <c r="H40" s="118">
        <v>30</v>
      </c>
      <c r="I40" s="118">
        <v>30</v>
      </c>
      <c r="J40" s="118">
        <v>30</v>
      </c>
      <c r="K40" s="118">
        <v>30</v>
      </c>
      <c r="L40" s="6"/>
      <c r="M40" s="6"/>
      <c r="N40" s="6"/>
    </row>
    <row r="41" spans="1:14">
      <c r="A41" s="66" t="s">
        <v>60</v>
      </c>
      <c r="B41" s="66">
        <v>6488</v>
      </c>
      <c r="C41" s="66">
        <v>7383</v>
      </c>
      <c r="D41" s="118">
        <v>6356</v>
      </c>
      <c r="E41" s="118">
        <v>6975</v>
      </c>
      <c r="F41" s="118">
        <v>6515</v>
      </c>
      <c r="G41" s="127">
        <f>G39+G40</f>
        <v>14915.307738000018</v>
      </c>
      <c r="H41" s="127">
        <f>H39+H40</f>
        <v>24507.388236560015</v>
      </c>
      <c r="I41" s="127">
        <f>I39+I40</f>
        <v>35209.066863482614</v>
      </c>
      <c r="J41" s="127">
        <f>J39+J40</f>
        <v>47005.018667806449</v>
      </c>
      <c r="K41" s="127">
        <f>K39+K40</f>
        <v>59856.861712403435</v>
      </c>
      <c r="L41" s="6"/>
      <c r="M41" s="6"/>
      <c r="N41" s="6"/>
    </row>
    <row r="42" spans="1:14">
      <c r="A42" s="6" t="s">
        <v>61</v>
      </c>
      <c r="B42" s="6">
        <v>33584</v>
      </c>
      <c r="C42" s="6">
        <v>37669</v>
      </c>
      <c r="D42" s="121">
        <v>38724</v>
      </c>
      <c r="E42" s="121">
        <v>42448</v>
      </c>
      <c r="F42" s="121">
        <v>48081</v>
      </c>
      <c r="G42" s="125">
        <f>G31+G41</f>
        <v>58699.683458000029</v>
      </c>
      <c r="H42" s="125">
        <f>H31+H41</f>
        <v>70535.501528560024</v>
      </c>
      <c r="I42" s="125">
        <f>I31+I41</f>
        <v>83458.480351762613</v>
      </c>
      <c r="J42" s="125">
        <f>J31+J41</f>
        <v>97406.625235148851</v>
      </c>
      <c r="K42" s="125">
        <f>K31+K41</f>
        <v>112292.29073945982</v>
      </c>
      <c r="L42" s="6"/>
      <c r="M42" s="6"/>
      <c r="N42" s="6"/>
    </row>
    <row r="43" spans="1:14">
      <c r="A43" s="6" t="s">
        <v>62</v>
      </c>
      <c r="B43" s="6"/>
      <c r="C43" s="6"/>
      <c r="D43" s="119" t="s">
        <v>23</v>
      </c>
      <c r="E43" s="119" t="s">
        <v>23</v>
      </c>
      <c r="F43" s="119" t="s">
        <v>23</v>
      </c>
      <c r="G43" s="125"/>
      <c r="H43" s="126"/>
      <c r="I43" s="126"/>
      <c r="J43" s="126"/>
      <c r="K43" s="126"/>
      <c r="L43" s="6"/>
      <c r="M43" s="6"/>
      <c r="N43" s="6"/>
    </row>
    <row r="44" spans="1:14">
      <c r="A44" s="5" t="s">
        <v>53</v>
      </c>
      <c r="B44" s="6"/>
      <c r="C44" s="6"/>
      <c r="D44" s="119" t="s">
        <v>23</v>
      </c>
      <c r="E44" s="119" t="s">
        <v>23</v>
      </c>
      <c r="F44" s="119" t="s">
        <v>23</v>
      </c>
      <c r="G44" s="125"/>
      <c r="H44" s="126"/>
      <c r="I44" s="126"/>
      <c r="J44" s="126"/>
      <c r="K44" s="126"/>
      <c r="L44" s="6"/>
      <c r="M44" s="6"/>
      <c r="N44" s="6"/>
    </row>
    <row r="45" spans="1:14">
      <c r="A45" s="6" t="s">
        <v>63</v>
      </c>
      <c r="B45" s="6">
        <v>0</v>
      </c>
      <c r="C45" s="6">
        <v>0</v>
      </c>
      <c r="D45" s="121">
        <v>0</v>
      </c>
      <c r="E45" s="121">
        <v>0</v>
      </c>
      <c r="F45" s="121">
        <v>0</v>
      </c>
      <c r="G45" s="125">
        <v>0</v>
      </c>
      <c r="H45" s="126">
        <v>0</v>
      </c>
      <c r="I45" s="126">
        <v>0</v>
      </c>
      <c r="J45" s="126">
        <v>0</v>
      </c>
      <c r="K45" s="126">
        <v>0</v>
      </c>
      <c r="L45" s="6"/>
      <c r="M45" s="6"/>
      <c r="N45" s="6"/>
    </row>
    <row r="46" spans="1:14">
      <c r="A46" s="6" t="s">
        <v>64</v>
      </c>
      <c r="B46" s="6"/>
      <c r="C46" s="6"/>
      <c r="D46" s="119" t="s">
        <v>23</v>
      </c>
      <c r="E46" s="119" t="s">
        <v>23</v>
      </c>
      <c r="F46" s="119" t="s">
        <v>23</v>
      </c>
      <c r="G46" s="125"/>
      <c r="H46" s="126"/>
      <c r="I46" s="126"/>
      <c r="J46" s="126"/>
      <c r="K46" s="126"/>
      <c r="L46" s="6"/>
      <c r="M46" s="6"/>
      <c r="N46" s="6"/>
    </row>
    <row r="47" spans="1:14">
      <c r="A47" s="5" t="s">
        <v>53</v>
      </c>
      <c r="B47" s="6"/>
      <c r="C47" s="6"/>
      <c r="D47" s="119" t="s">
        <v>23</v>
      </c>
      <c r="E47" s="119" t="s">
        <v>23</v>
      </c>
      <c r="F47" s="119" t="s">
        <v>23</v>
      </c>
      <c r="G47" s="125"/>
      <c r="H47" s="126"/>
      <c r="I47" s="126"/>
      <c r="J47" s="126"/>
      <c r="K47" s="126"/>
      <c r="L47" s="6"/>
      <c r="M47" s="6"/>
      <c r="N47" s="6"/>
    </row>
    <row r="48" spans="1:14">
      <c r="A48" s="6" t="s">
        <v>63</v>
      </c>
      <c r="B48" s="6">
        <v>0</v>
      </c>
      <c r="C48" s="6">
        <v>0</v>
      </c>
      <c r="D48" s="120">
        <v>0</v>
      </c>
      <c r="E48" s="120">
        <v>0</v>
      </c>
      <c r="F48" s="120">
        <v>0</v>
      </c>
      <c r="G48" s="125">
        <v>0</v>
      </c>
      <c r="H48" s="126">
        <v>0</v>
      </c>
      <c r="I48" s="126">
        <v>0</v>
      </c>
      <c r="J48" s="126">
        <v>0</v>
      </c>
      <c r="K48" s="126">
        <v>0</v>
      </c>
    </row>
  </sheetData>
  <phoneticPr fontId="2" type="noConversion"/>
  <pageMargins left="0.7" right="0.7" top="0.75" bottom="0.75" header="0.3" footer="0.3"/>
  <pageSetup orientation="portrait" r:id="rId1"/>
  <ignoredErrors>
    <ignoredError sqref="G9" calculatedColumn="1"/>
  </ignoredErrors>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69CF8-DEBB-4F35-9681-454DD4993223}">
  <dimension ref="A1:N55"/>
  <sheetViews>
    <sheetView zoomScale="57" zoomScaleNormal="80" workbookViewId="0"/>
  </sheetViews>
  <sheetFormatPr defaultRowHeight="14"/>
  <cols>
    <col min="1" max="1" width="105.58203125" customWidth="1"/>
    <col min="2" max="2" width="13.75" customWidth="1"/>
    <col min="3" max="3" width="12.6640625" customWidth="1"/>
    <col min="4" max="4" width="12.1640625" customWidth="1"/>
    <col min="5" max="5" width="11.5" customWidth="1"/>
    <col min="6" max="6" width="13" customWidth="1"/>
    <col min="7" max="7" width="14.83203125" customWidth="1"/>
    <col min="8" max="8" width="11.4140625" customWidth="1"/>
    <col min="9" max="9" width="12.4140625" customWidth="1"/>
    <col min="10" max="10" width="13.25" customWidth="1"/>
    <col min="11" max="11" width="13.75" customWidth="1"/>
    <col min="13" max="13" width="12.4140625" customWidth="1"/>
    <col min="14" max="14" width="12.1640625" customWidth="1"/>
  </cols>
  <sheetData>
    <row r="1" spans="1:14" ht="15.75" customHeight="1">
      <c r="A1" s="113" t="s">
        <v>66</v>
      </c>
      <c r="B1" s="114" t="s">
        <v>117</v>
      </c>
      <c r="C1" s="114" t="s">
        <v>118</v>
      </c>
      <c r="D1" s="114" t="s">
        <v>119</v>
      </c>
      <c r="E1" s="114" t="s">
        <v>120</v>
      </c>
      <c r="F1" s="114" t="s">
        <v>121</v>
      </c>
      <c r="G1" s="115" t="s">
        <v>124</v>
      </c>
      <c r="H1" s="115" t="s">
        <v>125</v>
      </c>
      <c r="I1" s="115" t="s">
        <v>126</v>
      </c>
      <c r="J1" s="115" t="s">
        <v>127</v>
      </c>
      <c r="K1" s="115" t="s">
        <v>128</v>
      </c>
      <c r="L1" s="6"/>
      <c r="M1" s="6"/>
      <c r="N1" s="6"/>
    </row>
    <row r="2" spans="1:14" ht="17.25" customHeight="1">
      <c r="A2" s="5" t="s">
        <v>111</v>
      </c>
      <c r="B2" s="116"/>
      <c r="C2" s="116"/>
      <c r="D2" s="117"/>
      <c r="E2" s="116"/>
      <c r="F2" s="116"/>
      <c r="G2" s="118"/>
      <c r="H2" s="118"/>
      <c r="I2" s="118"/>
      <c r="J2" s="118"/>
      <c r="K2" s="118"/>
      <c r="L2" s="6"/>
      <c r="M2" s="5" t="s">
        <v>525</v>
      </c>
      <c r="N2" s="72" t="s">
        <v>527</v>
      </c>
    </row>
    <row r="3" spans="1:14">
      <c r="A3" s="117" t="s">
        <v>67</v>
      </c>
      <c r="B3" s="119" t="s">
        <v>23</v>
      </c>
      <c r="C3" s="119" t="s">
        <v>23</v>
      </c>
      <c r="D3" s="120" t="s">
        <v>23</v>
      </c>
      <c r="E3" s="6"/>
      <c r="F3" s="119"/>
      <c r="G3" s="118"/>
      <c r="H3" s="118"/>
      <c r="I3" s="118"/>
      <c r="J3" s="118"/>
      <c r="K3" s="118"/>
      <c r="L3" s="6"/>
      <c r="M3" s="5" t="s">
        <v>526</v>
      </c>
      <c r="N3" s="73" t="s">
        <v>528</v>
      </c>
    </row>
    <row r="4" spans="1:14">
      <c r="A4" s="119" t="s">
        <v>68</v>
      </c>
      <c r="B4" s="120">
        <v>6411</v>
      </c>
      <c r="C4" s="120">
        <v>8687</v>
      </c>
      <c r="D4" s="119">
        <v>9930</v>
      </c>
      <c r="E4" s="120">
        <v>11195</v>
      </c>
      <c r="F4" s="120">
        <v>12874</v>
      </c>
      <c r="G4" s="177">
        <f>'Profit Loss'!G20</f>
        <v>14041.325340000003</v>
      </c>
      <c r="H4" s="177">
        <f>'Profit Loss'!H20</f>
        <v>15786.104140800004</v>
      </c>
      <c r="I4" s="177">
        <f>'Profit Loss'!I20</f>
        <v>17411.449821318005</v>
      </c>
      <c r="J4" s="177">
        <f>'Profit Loss'!J20</f>
        <v>19017.163967548327</v>
      </c>
      <c r="K4" s="177">
        <f>'Profit Loss'!K20</f>
        <v>20568.896110023161</v>
      </c>
      <c r="L4" s="6"/>
      <c r="M4" s="6"/>
      <c r="N4" s="6"/>
    </row>
    <row r="5" spans="1:14" ht="19.5" customHeight="1">
      <c r="A5" s="117" t="s">
        <v>69</v>
      </c>
      <c r="B5" s="119" t="s">
        <v>23</v>
      </c>
      <c r="C5" s="119" t="s">
        <v>23</v>
      </c>
      <c r="D5" s="121" t="s">
        <v>23</v>
      </c>
      <c r="E5" s="6"/>
      <c r="F5" s="119"/>
      <c r="G5" s="177"/>
      <c r="H5" s="177"/>
      <c r="I5" s="177"/>
      <c r="J5" s="177"/>
      <c r="K5" s="177"/>
      <c r="L5" s="6"/>
      <c r="M5" s="6"/>
      <c r="N5" s="6"/>
    </row>
    <row r="6" spans="1:14">
      <c r="A6" s="119" t="s">
        <v>70</v>
      </c>
      <c r="B6" s="121">
        <v>1072</v>
      </c>
      <c r="C6" s="121">
        <v>1371</v>
      </c>
      <c r="D6" s="121">
        <v>1586</v>
      </c>
      <c r="E6" s="121">
        <v>1622</v>
      </c>
      <c r="F6" s="121">
        <v>1830</v>
      </c>
      <c r="G6" s="177">
        <f>Table3[[#This Row],[2024]]*1.05</f>
        <v>1921.5</v>
      </c>
      <c r="H6" s="177">
        <f>Table3[[#This Row],[2025E]]*1.05</f>
        <v>2017.575</v>
      </c>
      <c r="I6" s="177">
        <f>Table3[[#This Row],[2026E]]*1.05</f>
        <v>2118.4537500000001</v>
      </c>
      <c r="J6" s="177">
        <f>Table3[[#This Row],[2027E]]*1.05</f>
        <v>2224.3764375000001</v>
      </c>
      <c r="K6" s="177">
        <f>Table3[[#This Row],[2028E]]*1.05</f>
        <v>2335.5952593750003</v>
      </c>
      <c r="L6" s="6"/>
      <c r="M6" s="6"/>
      <c r="N6" s="6"/>
    </row>
    <row r="7" spans="1:14">
      <c r="A7" s="119" t="s">
        <v>6</v>
      </c>
      <c r="B7" s="121">
        <v>580</v>
      </c>
      <c r="C7" s="121">
        <v>726</v>
      </c>
      <c r="D7" s="121">
        <v>750</v>
      </c>
      <c r="E7" s="121">
        <v>799</v>
      </c>
      <c r="F7" s="121">
        <v>897</v>
      </c>
      <c r="G7" s="177">
        <f>Table3[[#This Row],[2024]]*1.06</f>
        <v>950.82</v>
      </c>
      <c r="H7" s="177">
        <f>Table3[[#This Row],[2025E]]*1.06</f>
        <v>1007.8692000000001</v>
      </c>
      <c r="I7" s="177">
        <f>Table3[[#This Row],[2026E]]*1.06</f>
        <v>1068.3413520000001</v>
      </c>
      <c r="J7" s="177">
        <f>Table3[[#This Row],[2027E]]*1.06</f>
        <v>1132.4418331200002</v>
      </c>
      <c r="K7" s="177">
        <f>Table3[[#This Row],[2028E]]*1.06</f>
        <v>1200.3883431072002</v>
      </c>
      <c r="L7" s="6"/>
      <c r="M7" s="6"/>
      <c r="N7" s="6"/>
    </row>
    <row r="8" spans="1:14">
      <c r="A8" s="119" t="s">
        <v>71</v>
      </c>
      <c r="B8" s="121">
        <v>-30</v>
      </c>
      <c r="C8" s="121">
        <v>-645</v>
      </c>
      <c r="D8" s="121">
        <v>145</v>
      </c>
      <c r="E8" s="121">
        <v>61</v>
      </c>
      <c r="F8" s="121">
        <v>29</v>
      </c>
      <c r="G8" s="177">
        <v>29</v>
      </c>
      <c r="H8" s="177">
        <v>29</v>
      </c>
      <c r="I8" s="177">
        <v>29</v>
      </c>
      <c r="J8" s="177">
        <v>29</v>
      </c>
      <c r="K8" s="177">
        <v>29</v>
      </c>
      <c r="L8" s="6"/>
      <c r="M8" s="6"/>
      <c r="N8" s="6"/>
    </row>
    <row r="9" spans="1:14">
      <c r="A9" s="119" t="s">
        <v>72</v>
      </c>
      <c r="B9" s="121">
        <v>254</v>
      </c>
      <c r="C9" s="121">
        <v>273</v>
      </c>
      <c r="D9" s="121">
        <v>295</v>
      </c>
      <c r="E9" s="121">
        <v>460</v>
      </c>
      <c r="F9" s="121">
        <v>526</v>
      </c>
      <c r="G9" s="177">
        <f>Table3[[#This Row],[2024]]*1.06</f>
        <v>557.56000000000006</v>
      </c>
      <c r="H9" s="177">
        <f>Table3[[#This Row],[2025E]]*1.06</f>
        <v>591.01360000000011</v>
      </c>
      <c r="I9" s="177">
        <f>Table3[[#This Row],[2026E]]*1.06</f>
        <v>626.47441600000013</v>
      </c>
      <c r="J9" s="177">
        <f>Table3[[#This Row],[2027E]]*1.06</f>
        <v>664.06288096000014</v>
      </c>
      <c r="K9" s="177">
        <f>Table3[[#This Row],[2028E]]*1.06</f>
        <v>703.90665381760016</v>
      </c>
      <c r="L9" s="6"/>
      <c r="M9" s="6"/>
      <c r="N9" s="6"/>
    </row>
    <row r="10" spans="1:14">
      <c r="A10" s="119" t="s">
        <v>35</v>
      </c>
      <c r="B10" s="121">
        <v>73</v>
      </c>
      <c r="C10" s="121">
        <v>-69</v>
      </c>
      <c r="D10" s="121">
        <v>-651</v>
      </c>
      <c r="E10" s="121">
        <v>-236</v>
      </c>
      <c r="F10" s="121">
        <v>-527</v>
      </c>
      <c r="G10" s="177">
        <f>Table3[[#This Row],[2024]]*1.03</f>
        <v>-542.81000000000006</v>
      </c>
      <c r="H10" s="177">
        <f>Table3[[#This Row],[2025E]]*1.03</f>
        <v>-559.09430000000009</v>
      </c>
      <c r="I10" s="177">
        <f>Table3[[#This Row],[2026E]]*1.03</f>
        <v>-575.86712900000009</v>
      </c>
      <c r="J10" s="177">
        <f>Table3[[#This Row],[2027E]]*1.03</f>
        <v>-593.14314287000013</v>
      </c>
      <c r="K10" s="177">
        <f>Table3[[#This Row],[2028E]]*1.03</f>
        <v>-610.93743715610015</v>
      </c>
      <c r="L10" s="6"/>
      <c r="M10" s="6"/>
      <c r="N10" s="6"/>
    </row>
    <row r="11" spans="1:14">
      <c r="A11" s="119" t="s">
        <v>73</v>
      </c>
      <c r="B11" s="121">
        <v>14</v>
      </c>
      <c r="C11" s="121">
        <v>36</v>
      </c>
      <c r="D11" s="119">
        <v>44</v>
      </c>
      <c r="E11" s="121">
        <v>22</v>
      </c>
      <c r="F11" s="121">
        <v>191</v>
      </c>
      <c r="G11" s="177">
        <f>Table3[[#This Row],[2024]]*1.03</f>
        <v>196.73000000000002</v>
      </c>
      <c r="H11" s="177">
        <f>Table3[[#This Row],[2025E]]*1.03</f>
        <v>202.63190000000003</v>
      </c>
      <c r="I11" s="177">
        <f>Table3[[#This Row],[2026E]]*1.03</f>
        <v>208.71085700000003</v>
      </c>
      <c r="J11" s="177">
        <f>Table3[[#This Row],[2027E]]*1.03</f>
        <v>214.97218271000003</v>
      </c>
      <c r="K11" s="177">
        <f>Table3[[#This Row],[2028E]]*1.03</f>
        <v>221.42134819130004</v>
      </c>
      <c r="L11" s="6"/>
      <c r="M11" s="6"/>
      <c r="N11" s="6"/>
    </row>
    <row r="12" spans="1:14">
      <c r="A12" s="117" t="s">
        <v>74</v>
      </c>
      <c r="B12" s="119" t="s">
        <v>23</v>
      </c>
      <c r="C12" s="119" t="s">
        <v>23</v>
      </c>
      <c r="D12" s="121" t="s">
        <v>23</v>
      </c>
      <c r="E12" s="6"/>
      <c r="F12" s="119"/>
      <c r="G12" s="177"/>
      <c r="H12" s="177"/>
      <c r="I12" s="177"/>
      <c r="J12" s="177"/>
      <c r="K12" s="177"/>
      <c r="L12" s="6"/>
      <c r="M12" s="6"/>
      <c r="N12" s="6"/>
    </row>
    <row r="13" spans="1:14">
      <c r="A13" s="119" t="s">
        <v>29</v>
      </c>
      <c r="B13" s="121">
        <v>-86</v>
      </c>
      <c r="C13" s="121">
        <v>-397</v>
      </c>
      <c r="D13" s="121">
        <v>-481</v>
      </c>
      <c r="E13" s="121">
        <v>-546</v>
      </c>
      <c r="F13" s="121">
        <v>186</v>
      </c>
      <c r="G13" s="177">
        <f>Balance_Sheet!F7-Balance_Sheet!G7</f>
        <v>-35.804829000000041</v>
      </c>
      <c r="H13" s="177">
        <f>Balance_Sheet!G7-Balance_Sheet!H7</f>
        <v>-36.58048290000005</v>
      </c>
      <c r="I13" s="177">
        <f>Balance_Sheet!H7-Balance_Sheet!I7</f>
        <v>-36.214678071000037</v>
      </c>
      <c r="J13" s="177">
        <f>Balance_Sheet!I7-Balance_Sheet!J7</f>
        <v>-35.087999197680006</v>
      </c>
      <c r="K13" s="177">
        <f>Balance_Sheet!J7-Balance_Sheet!K7</f>
        <v>-33.158159241807653</v>
      </c>
      <c r="L13" s="6"/>
      <c r="M13" s="6"/>
      <c r="N13" s="6"/>
    </row>
    <row r="14" spans="1:14">
      <c r="A14" s="119" t="s">
        <v>75</v>
      </c>
      <c r="B14" s="121">
        <v>-2</v>
      </c>
      <c r="C14" s="121">
        <v>-87</v>
      </c>
      <c r="D14" s="121">
        <v>12</v>
      </c>
      <c r="E14" s="121">
        <v>-171</v>
      </c>
      <c r="F14" s="121">
        <v>-165</v>
      </c>
      <c r="G14" s="177">
        <v>-165</v>
      </c>
      <c r="H14" s="177">
        <v>-165</v>
      </c>
      <c r="I14" s="177">
        <v>-165</v>
      </c>
      <c r="J14" s="177">
        <v>-165</v>
      </c>
      <c r="K14" s="177">
        <v>-165</v>
      </c>
      <c r="L14" s="6"/>
      <c r="M14" s="6"/>
      <c r="N14" s="6"/>
    </row>
    <row r="15" spans="1:14">
      <c r="A15" s="119" t="s">
        <v>30</v>
      </c>
      <c r="B15" s="121">
        <v>1288</v>
      </c>
      <c r="C15" s="121">
        <v>390</v>
      </c>
      <c r="D15" s="121">
        <v>48</v>
      </c>
      <c r="E15" s="121">
        <v>40</v>
      </c>
      <c r="F15" s="121">
        <v>-593</v>
      </c>
      <c r="G15" s="177">
        <f>Balance_Sheet!F8-Balance_Sheet!G8</f>
        <v>-416.55958000000101</v>
      </c>
      <c r="H15" s="177">
        <f>Balance_Sheet!G8-Balance_Sheet!H8</f>
        <v>-418.95595800000046</v>
      </c>
      <c r="I15" s="177">
        <f>Balance_Sheet!H8-Balance_Sheet!I8</f>
        <v>-414.76639841999986</v>
      </c>
      <c r="J15" s="177">
        <f>Balance_Sheet!I8-Balance_Sheet!J8</f>
        <v>-401.86255491360043</v>
      </c>
      <c r="K15" s="177">
        <f>Balance_Sheet!J8-Balance_Sheet!K8</f>
        <v>-379.76011439335252</v>
      </c>
      <c r="L15" s="6"/>
      <c r="M15" s="6"/>
      <c r="N15" s="6"/>
    </row>
    <row r="16" spans="1:14">
      <c r="A16" s="119" t="s">
        <v>76</v>
      </c>
      <c r="B16" s="121">
        <v>-1552</v>
      </c>
      <c r="C16" s="121">
        <v>-2087</v>
      </c>
      <c r="D16" s="121">
        <v>-2175</v>
      </c>
      <c r="E16" s="121">
        <v>-2438</v>
      </c>
      <c r="F16" s="121">
        <v>-3225</v>
      </c>
      <c r="G16" s="177">
        <f>Balance_Sheet!F10-Balance_Sheet!G10</f>
        <v>490.77039999999988</v>
      </c>
      <c r="H16" s="177">
        <f>Balance_Sheet!G10-Balance_Sheet!H10</f>
        <v>-250.1229600000006</v>
      </c>
      <c r="I16" s="177">
        <f>Balance_Sheet!H10-Balance_Sheet!I10</f>
        <v>-247.62173040000016</v>
      </c>
      <c r="J16" s="177">
        <f>Balance_Sheet!I10-Balance_Sheet!J10</f>
        <v>-239.9179432320002</v>
      </c>
      <c r="K16" s="177">
        <f>Balance_Sheet!J10-Balance_Sheet!K10</f>
        <v>-226.72245635424042</v>
      </c>
      <c r="L16" s="6"/>
      <c r="M16" s="6"/>
      <c r="N16" s="6"/>
    </row>
    <row r="17" spans="1:14">
      <c r="A17" s="119" t="s">
        <v>77</v>
      </c>
      <c r="B17" s="121">
        <v>-73</v>
      </c>
      <c r="C17" s="121">
        <v>-1</v>
      </c>
      <c r="D17" s="121">
        <v>240</v>
      </c>
      <c r="E17" s="121">
        <v>-375</v>
      </c>
      <c r="F17" s="121">
        <v>205</v>
      </c>
      <c r="G17" s="177">
        <v>205</v>
      </c>
      <c r="H17" s="177">
        <v>205</v>
      </c>
      <c r="I17" s="177">
        <v>205</v>
      </c>
      <c r="J17" s="177">
        <v>205</v>
      </c>
      <c r="K17" s="177">
        <v>205</v>
      </c>
      <c r="L17" s="6"/>
      <c r="M17" s="6"/>
      <c r="N17" s="6"/>
    </row>
    <row r="18" spans="1:14">
      <c r="A18" s="119" t="s">
        <v>31</v>
      </c>
      <c r="B18" s="121">
        <v>326</v>
      </c>
      <c r="C18" s="121">
        <v>177</v>
      </c>
      <c r="D18" s="121">
        <v>-305</v>
      </c>
      <c r="E18" s="121">
        <v>277</v>
      </c>
      <c r="F18" s="121">
        <v>29</v>
      </c>
      <c r="G18" s="177">
        <v>29</v>
      </c>
      <c r="H18" s="177">
        <v>29</v>
      </c>
      <c r="I18" s="177">
        <v>29</v>
      </c>
      <c r="J18" s="177">
        <v>29</v>
      </c>
      <c r="K18" s="177">
        <v>29</v>
      </c>
      <c r="L18" s="6"/>
      <c r="M18" s="6"/>
      <c r="N18" s="6"/>
    </row>
    <row r="19" spans="1:14">
      <c r="A19" s="119" t="s">
        <v>41</v>
      </c>
      <c r="B19" s="121">
        <v>26</v>
      </c>
      <c r="C19" s="121">
        <v>100</v>
      </c>
      <c r="D19" s="121">
        <v>190</v>
      </c>
      <c r="E19" s="121">
        <v>-99</v>
      </c>
      <c r="F19" s="121">
        <v>75</v>
      </c>
      <c r="G19" s="177">
        <f>(Balance_Sheet!G20-Balance_Sheet!F20)-1</f>
        <v>101.75721000000021</v>
      </c>
      <c r="H19" s="177">
        <f>(Balance_Sheet!H20-Balance_Sheet!G20)-1</f>
        <v>102.17572100000007</v>
      </c>
      <c r="I19" s="177">
        <f>(Balance_Sheet!I20-Balance_Sheet!H20)-1</f>
        <v>101.14396379000004</v>
      </c>
      <c r="J19" s="177">
        <f>(Balance_Sheet!J20-Balance_Sheet!I20)-1</f>
        <v>97.966151583200144</v>
      </c>
      <c r="K19" s="177">
        <f>(Balance_Sheet!K20-Balance_Sheet!J20)-1</f>
        <v>92.523013246124037</v>
      </c>
      <c r="L19" s="6"/>
      <c r="M19" s="6"/>
      <c r="N19" s="6"/>
    </row>
    <row r="20" spans="1:14">
      <c r="A20" s="119" t="s">
        <v>42</v>
      </c>
      <c r="B20" s="121">
        <v>-1242</v>
      </c>
      <c r="C20" s="121">
        <v>-568</v>
      </c>
      <c r="D20" s="121">
        <v>201</v>
      </c>
      <c r="E20" s="121">
        <v>282</v>
      </c>
      <c r="F20" s="121">
        <v>922</v>
      </c>
      <c r="G20" s="177">
        <v>922</v>
      </c>
      <c r="H20" s="177">
        <v>922</v>
      </c>
      <c r="I20" s="177">
        <v>922</v>
      </c>
      <c r="J20" s="177">
        <v>922</v>
      </c>
      <c r="K20" s="177">
        <v>922</v>
      </c>
      <c r="L20" s="6"/>
      <c r="M20" s="6"/>
      <c r="N20" s="6"/>
    </row>
    <row r="21" spans="1:14">
      <c r="A21" s="119" t="s">
        <v>44</v>
      </c>
      <c r="B21" s="121">
        <v>-114</v>
      </c>
      <c r="C21" s="121">
        <v>1355</v>
      </c>
      <c r="D21" s="121">
        <v>1188</v>
      </c>
      <c r="E21" s="121">
        <v>571</v>
      </c>
      <c r="F21" s="121">
        <v>1587</v>
      </c>
      <c r="G21" s="177">
        <f>Balance_Sheet!G24-Balance_Sheet!F24</f>
        <v>1143.9215300000014</v>
      </c>
      <c r="H21" s="177">
        <f>Balance_Sheet!H24-Balance_Sheet!G24</f>
        <v>1153.692153</v>
      </c>
      <c r="I21" s="177">
        <f>Balance_Sheet!I24-Balance_Sheet!H24</f>
        <v>1142.155231470002</v>
      </c>
      <c r="J21" s="177">
        <f>Balance_Sheet!J24-Balance_Sheet!I24</f>
        <v>1106.6215131576009</v>
      </c>
      <c r="K21" s="177">
        <f>Balance_Sheet!K24-Balance_Sheet!J24</f>
        <v>1045.7573299339329</v>
      </c>
      <c r="L21" s="6"/>
      <c r="M21" s="6"/>
      <c r="N21" s="6"/>
    </row>
    <row r="22" spans="1:14">
      <c r="A22" s="119" t="s">
        <v>78</v>
      </c>
      <c r="B22" s="121">
        <v>-37</v>
      </c>
      <c r="C22" s="121">
        <v>-52</v>
      </c>
      <c r="D22" s="121">
        <v>-121</v>
      </c>
      <c r="E22" s="121">
        <v>-129</v>
      </c>
      <c r="F22" s="121">
        <v>-163</v>
      </c>
      <c r="G22" s="177">
        <v>-163</v>
      </c>
      <c r="H22" s="177">
        <v>-163</v>
      </c>
      <c r="I22" s="177">
        <v>-163</v>
      </c>
      <c r="J22" s="177">
        <v>-163</v>
      </c>
      <c r="K22" s="177">
        <v>-163</v>
      </c>
      <c r="L22" s="6"/>
      <c r="M22" s="6"/>
      <c r="N22" s="6"/>
    </row>
    <row r="23" spans="1:14">
      <c r="A23" s="119" t="s">
        <v>79</v>
      </c>
      <c r="B23" s="121">
        <v>316</v>
      </c>
      <c r="C23" s="121">
        <v>254</v>
      </c>
      <c r="D23" s="121">
        <v>299</v>
      </c>
      <c r="E23" s="121">
        <v>645</v>
      </c>
      <c r="F23" s="121">
        <v>102</v>
      </c>
      <c r="G23" s="177">
        <v>102</v>
      </c>
      <c r="H23" s="177">
        <v>102</v>
      </c>
      <c r="I23" s="177">
        <v>102</v>
      </c>
      <c r="J23" s="177">
        <v>102</v>
      </c>
      <c r="K23" s="177">
        <v>102</v>
      </c>
      <c r="L23" s="6"/>
      <c r="M23" s="6"/>
      <c r="N23" s="6"/>
    </row>
    <row r="24" spans="1:14">
      <c r="A24" s="162" t="s">
        <v>80</v>
      </c>
      <c r="B24" s="118">
        <v>7224</v>
      </c>
      <c r="C24" s="118">
        <v>9463</v>
      </c>
      <c r="D24" s="126">
        <v>11195</v>
      </c>
      <c r="E24" s="118">
        <v>11980</v>
      </c>
      <c r="F24" s="118">
        <v>14780</v>
      </c>
      <c r="G24" s="177">
        <f>SUM(G4:G23)</f>
        <v>19368.210071000001</v>
      </c>
      <c r="H24" s="177">
        <f>SUM(H4:H23)</f>
        <v>20555.308013899998</v>
      </c>
      <c r="I24" s="177">
        <f>SUM(I4:I23)</f>
        <v>22361.259455687006</v>
      </c>
      <c r="J24" s="177">
        <f>SUM(J4:J23)</f>
        <v>24146.593326365844</v>
      </c>
      <c r="K24" s="177">
        <f>SUM(K4:K23)</f>
        <v>25876.909890548821</v>
      </c>
      <c r="L24" s="6"/>
      <c r="M24" s="6"/>
      <c r="N24" s="6"/>
    </row>
    <row r="25" spans="1:14">
      <c r="A25" s="117" t="s">
        <v>81</v>
      </c>
      <c r="B25" s="119" t="s">
        <v>23</v>
      </c>
      <c r="C25" s="119" t="s">
        <v>23</v>
      </c>
      <c r="D25" s="121" t="s">
        <v>23</v>
      </c>
      <c r="E25" s="6"/>
      <c r="F25" s="119"/>
      <c r="G25" s="128"/>
      <c r="H25" s="128"/>
      <c r="I25" s="128"/>
      <c r="J25" s="128"/>
      <c r="K25" s="128"/>
      <c r="L25" s="6"/>
      <c r="M25" s="6"/>
      <c r="N25" s="6"/>
    </row>
    <row r="26" spans="1:14">
      <c r="A26" s="119" t="s">
        <v>82</v>
      </c>
      <c r="B26" s="121">
        <v>-220</v>
      </c>
      <c r="C26" s="121">
        <v>-389</v>
      </c>
      <c r="D26" s="121">
        <v>-267</v>
      </c>
      <c r="E26" s="121">
        <v>-300</v>
      </c>
      <c r="F26" s="121">
        <v>-508</v>
      </c>
      <c r="G26" s="128">
        <f>Table3[[#This Row],[2024]]*1.05</f>
        <v>-533.4</v>
      </c>
      <c r="H26" s="177">
        <f>Table3[[#This Row],[2025E]]*1.05</f>
        <v>-560.07000000000005</v>
      </c>
      <c r="I26" s="177">
        <f>Table3[[#This Row],[2026E]]*1.05</f>
        <v>-588.07350000000008</v>
      </c>
      <c r="J26" s="177">
        <f>Table3[[#This Row],[2027E]]*1.05</f>
        <v>-617.4771750000001</v>
      </c>
      <c r="K26" s="177">
        <f>Table3[[#This Row],[2028E]]*1.05</f>
        <v>-648.35103375000017</v>
      </c>
      <c r="L26" s="6"/>
      <c r="M26" s="6"/>
      <c r="N26" s="6"/>
    </row>
    <row r="27" spans="1:14">
      <c r="A27" s="119" t="s">
        <v>83</v>
      </c>
      <c r="B27" s="121">
        <v>-198</v>
      </c>
      <c r="C27" s="121">
        <v>-294</v>
      </c>
      <c r="D27" s="121">
        <v>-239</v>
      </c>
      <c r="E27" s="121">
        <v>-347</v>
      </c>
      <c r="F27" s="121">
        <v>-108</v>
      </c>
      <c r="G27" s="128">
        <f>Table3[[#This Row],[2024]]*1.05</f>
        <v>-113.4</v>
      </c>
      <c r="H27" s="177">
        <f>Table3[[#This Row],[2025E]]*1.05</f>
        <v>-119.07000000000001</v>
      </c>
      <c r="I27" s="177">
        <f>Table3[[#This Row],[2026E]]*1.05</f>
        <v>-125.02350000000001</v>
      </c>
      <c r="J27" s="177">
        <f>Table3[[#This Row],[2027E]]*1.05</f>
        <v>-131.27467500000003</v>
      </c>
      <c r="K27" s="177">
        <f>Table3[[#This Row],[2028E]]*1.05</f>
        <v>-137.83840875000004</v>
      </c>
      <c r="L27" s="6"/>
      <c r="M27" s="6"/>
      <c r="N27" s="6"/>
    </row>
    <row r="28" spans="1:14">
      <c r="A28" s="119" t="s">
        <v>84</v>
      </c>
      <c r="B28" s="121">
        <v>361</v>
      </c>
      <c r="C28" s="121">
        <v>83</v>
      </c>
      <c r="D28" s="121">
        <v>54</v>
      </c>
      <c r="E28" s="121">
        <v>87</v>
      </c>
      <c r="F28" s="121">
        <v>199</v>
      </c>
      <c r="G28" s="128">
        <f>Table3[[#This Row],[2024]]*1.05</f>
        <v>208.95000000000002</v>
      </c>
      <c r="H28" s="177">
        <f>Table3[[#This Row],[2025E]]*1.05</f>
        <v>219.39750000000004</v>
      </c>
      <c r="I28" s="177">
        <f>Table3[[#This Row],[2026E]]*1.05</f>
        <v>230.36737500000004</v>
      </c>
      <c r="J28" s="177">
        <f>Table3[[#This Row],[2027E]]*1.05</f>
        <v>241.88574375000005</v>
      </c>
      <c r="K28" s="177">
        <f>Table3[[#This Row],[2028E]]*1.05</f>
        <v>253.98003093750006</v>
      </c>
      <c r="L28" s="6"/>
      <c r="M28" s="6"/>
      <c r="N28" s="6"/>
    </row>
    <row r="29" spans="1:14">
      <c r="A29" s="119" t="s">
        <v>85</v>
      </c>
      <c r="B29" s="121">
        <v>140</v>
      </c>
      <c r="C29" s="121">
        <v>291</v>
      </c>
      <c r="D29" s="121">
        <v>211</v>
      </c>
      <c r="E29" s="121">
        <v>191</v>
      </c>
      <c r="F29" s="121">
        <v>262</v>
      </c>
      <c r="G29" s="128">
        <f>Table3[[#This Row],[2024]]*1.05</f>
        <v>275.10000000000002</v>
      </c>
      <c r="H29" s="177">
        <f>Table3[[#This Row],[2025E]]*1.05</f>
        <v>288.85500000000002</v>
      </c>
      <c r="I29" s="177">
        <f>Table3[[#This Row],[2026E]]*1.05</f>
        <v>303.29775000000001</v>
      </c>
      <c r="J29" s="177">
        <f>Table3[[#This Row],[2027E]]*1.05</f>
        <v>318.46263750000003</v>
      </c>
      <c r="K29" s="177">
        <f>Table3[[#This Row],[2028E]]*1.05</f>
        <v>334.38576937500005</v>
      </c>
      <c r="L29" s="6"/>
      <c r="M29" s="6"/>
      <c r="N29" s="6"/>
    </row>
    <row r="30" spans="1:14">
      <c r="A30" s="119" t="s">
        <v>86</v>
      </c>
      <c r="B30" s="121">
        <v>121</v>
      </c>
      <c r="C30" s="121">
        <v>296</v>
      </c>
      <c r="D30" s="121">
        <v>265</v>
      </c>
      <c r="E30" s="121">
        <v>157</v>
      </c>
      <c r="F30" s="121">
        <v>378</v>
      </c>
      <c r="G30" s="177">
        <f>Table3[[#This Row],[2024]]*1.05</f>
        <v>396.90000000000003</v>
      </c>
      <c r="H30" s="177">
        <f>Table3[[#This Row],[2025E]]*1.05</f>
        <v>416.74500000000006</v>
      </c>
      <c r="I30" s="177">
        <f>Table3[[#This Row],[2026E]]*1.05</f>
        <v>437.5822500000001</v>
      </c>
      <c r="J30" s="177">
        <f>Table3[[#This Row],[2027E]]*1.05</f>
        <v>459.46136250000012</v>
      </c>
      <c r="K30" s="177">
        <f>Table3[[#This Row],[2028E]]*1.05</f>
        <v>482.43443062500018</v>
      </c>
      <c r="L30" s="6"/>
      <c r="M30" s="6"/>
      <c r="N30" s="6"/>
    </row>
    <row r="31" spans="1:14">
      <c r="A31" s="119" t="s">
        <v>87</v>
      </c>
      <c r="B31" s="121">
        <v>-339</v>
      </c>
      <c r="C31" s="121">
        <v>-407</v>
      </c>
      <c r="D31" s="121">
        <v>-442</v>
      </c>
      <c r="E31" s="121">
        <v>-371</v>
      </c>
      <c r="F31" s="121">
        <v>-474</v>
      </c>
      <c r="G31" s="177">
        <f>Table3[[#This Row],[2024]]*1.05</f>
        <v>-497.70000000000005</v>
      </c>
      <c r="H31" s="177">
        <f>Table3[[#This Row],[2025E]]*1.05</f>
        <v>-522.58500000000004</v>
      </c>
      <c r="I31" s="177">
        <f>Table3[[#This Row],[2026E]]*1.05</f>
        <v>-548.71425000000011</v>
      </c>
      <c r="J31" s="177">
        <f>Table3[[#This Row],[2027E]]*1.05</f>
        <v>-576.14996250000013</v>
      </c>
      <c r="K31" s="177">
        <f>Table3[[#This Row],[2028E]]*1.05</f>
        <v>-604.95746062500018</v>
      </c>
      <c r="L31" s="6"/>
      <c r="M31" s="6"/>
      <c r="N31" s="6"/>
    </row>
    <row r="32" spans="1:14">
      <c r="A32" s="119" t="s">
        <v>88</v>
      </c>
      <c r="B32" s="121">
        <v>-369</v>
      </c>
      <c r="C32" s="121">
        <v>-407</v>
      </c>
      <c r="D32" s="121">
        <v>-655</v>
      </c>
      <c r="E32" s="121">
        <v>-717</v>
      </c>
      <c r="F32" s="121">
        <v>-720</v>
      </c>
      <c r="G32" s="177">
        <f>Table3[[#This Row],[2024]]*1.05</f>
        <v>-756</v>
      </c>
      <c r="H32" s="177">
        <f>Table3[[#This Row],[2025E]]*1.05</f>
        <v>-793.80000000000007</v>
      </c>
      <c r="I32" s="177">
        <f>Table3[[#This Row],[2026E]]*1.05</f>
        <v>-833.49000000000012</v>
      </c>
      <c r="J32" s="177">
        <f>Table3[[#This Row],[2027E]]*1.05</f>
        <v>-875.1645000000002</v>
      </c>
      <c r="K32" s="177">
        <f>Table3[[#This Row],[2028E]]*1.05</f>
        <v>-918.92272500000024</v>
      </c>
      <c r="L32" s="6"/>
      <c r="M32" s="6"/>
      <c r="N32" s="6"/>
    </row>
    <row r="33" spans="1:14">
      <c r="A33" s="119" t="s">
        <v>89</v>
      </c>
      <c r="B33" s="121">
        <v>-214</v>
      </c>
      <c r="C33" s="121">
        <v>-228</v>
      </c>
      <c r="D33" s="121">
        <v>-88</v>
      </c>
      <c r="E33" s="121">
        <v>-89</v>
      </c>
      <c r="F33" s="121">
        <v>-42</v>
      </c>
      <c r="G33" s="177">
        <f>Table3[[#This Row],[2024]]*1.05</f>
        <v>-44.1</v>
      </c>
      <c r="H33" s="177">
        <f>Table3[[#This Row],[2025E]]*1.05</f>
        <v>-46.305000000000007</v>
      </c>
      <c r="I33" s="177">
        <f>Table3[[#This Row],[2026E]]*1.05</f>
        <v>-48.620250000000006</v>
      </c>
      <c r="J33" s="177">
        <f>Table3[[#This Row],[2027E]]*1.05</f>
        <v>-51.051262500000007</v>
      </c>
      <c r="K33" s="177">
        <f>Table3[[#This Row],[2028E]]*1.05</f>
        <v>-53.603825625000013</v>
      </c>
      <c r="L33" s="6"/>
      <c r="M33" s="6"/>
      <c r="N33" s="6"/>
    </row>
    <row r="34" spans="1:14">
      <c r="A34" s="119" t="s">
        <v>108</v>
      </c>
      <c r="B34" s="121">
        <v>0</v>
      </c>
      <c r="C34" s="121">
        <v>186</v>
      </c>
      <c r="D34" s="121">
        <v>7</v>
      </c>
      <c r="E34" s="121">
        <v>44</v>
      </c>
      <c r="F34" s="121">
        <v>125</v>
      </c>
      <c r="G34" s="177">
        <f>Table3[[#This Row],[2024]]*1.05</f>
        <v>131.25</v>
      </c>
      <c r="H34" s="177">
        <f>Table3[[#This Row],[2025E]]*1.05</f>
        <v>137.8125</v>
      </c>
      <c r="I34" s="177">
        <f>Table3[[#This Row],[2026E]]*1.05</f>
        <v>144.703125</v>
      </c>
      <c r="J34" s="177">
        <f>Table3[[#This Row],[2027E]]*1.05</f>
        <v>151.93828125000002</v>
      </c>
      <c r="K34" s="177">
        <f>Table3[[#This Row],[2028E]]*1.05</f>
        <v>159.53519531250004</v>
      </c>
      <c r="L34" s="6"/>
      <c r="M34" s="6"/>
      <c r="N34" s="6"/>
    </row>
    <row r="35" spans="1:14">
      <c r="A35" s="119" t="s">
        <v>90</v>
      </c>
      <c r="B35" s="121">
        <v>-989</v>
      </c>
      <c r="C35" s="121">
        <v>-4436</v>
      </c>
      <c r="D35" s="121">
        <v>-313</v>
      </c>
      <c r="E35" s="121">
        <v>0</v>
      </c>
      <c r="F35" s="121">
        <v>-2511</v>
      </c>
      <c r="G35" s="177">
        <v>0</v>
      </c>
      <c r="H35" s="177">
        <v>0</v>
      </c>
      <c r="I35" s="177">
        <v>0</v>
      </c>
      <c r="J35" s="177">
        <v>0</v>
      </c>
      <c r="K35" s="177">
        <v>0</v>
      </c>
      <c r="L35" s="6"/>
      <c r="M35" s="6"/>
      <c r="N35" s="6"/>
    </row>
    <row r="36" spans="1:14">
      <c r="A36" s="119" t="s">
        <v>91</v>
      </c>
      <c r="B36" s="121">
        <v>-175</v>
      </c>
      <c r="C36" s="121">
        <v>0</v>
      </c>
      <c r="D36" s="121">
        <v>0</v>
      </c>
      <c r="E36" s="121">
        <v>0</v>
      </c>
      <c r="F36" s="121">
        <v>0</v>
      </c>
      <c r="G36" s="177">
        <v>0</v>
      </c>
      <c r="H36" s="177">
        <v>0</v>
      </c>
      <c r="I36" s="177">
        <v>0</v>
      </c>
      <c r="J36" s="177">
        <v>0</v>
      </c>
      <c r="K36" s="177">
        <v>0</v>
      </c>
      <c r="L36" s="6"/>
      <c r="M36" s="6"/>
      <c r="N36" s="6"/>
    </row>
    <row r="37" spans="1:14">
      <c r="A37" s="119" t="s">
        <v>92</v>
      </c>
      <c r="B37" s="121">
        <v>3</v>
      </c>
      <c r="C37" s="121">
        <v>33</v>
      </c>
      <c r="D37" s="121">
        <v>-3</v>
      </c>
      <c r="E37" s="121">
        <v>-6</v>
      </c>
      <c r="F37" s="121">
        <v>-3</v>
      </c>
      <c r="G37" s="177">
        <v>-3</v>
      </c>
      <c r="H37" s="177">
        <v>-3</v>
      </c>
      <c r="I37" s="177">
        <v>-3</v>
      </c>
      <c r="J37" s="177">
        <v>-3</v>
      </c>
      <c r="K37" s="177">
        <v>-3</v>
      </c>
      <c r="L37" s="6"/>
      <c r="M37" s="6"/>
      <c r="N37" s="6"/>
    </row>
    <row r="38" spans="1:14">
      <c r="A38" s="162" t="s">
        <v>93</v>
      </c>
      <c r="B38" s="118">
        <v>-1879</v>
      </c>
      <c r="C38" s="118">
        <v>-5272</v>
      </c>
      <c r="D38" s="126">
        <v>-1470</v>
      </c>
      <c r="E38" s="118">
        <v>-1351</v>
      </c>
      <c r="F38" s="118">
        <v>-3402</v>
      </c>
      <c r="G38" s="177">
        <f>SUM(G26:G37)</f>
        <v>-935.39999999999986</v>
      </c>
      <c r="H38" s="177">
        <f>SUM(H26:H37)</f>
        <v>-982.02000000000021</v>
      </c>
      <c r="I38" s="177">
        <f>SUM(I26:I37)</f>
        <v>-1030.971</v>
      </c>
      <c r="J38" s="177">
        <f>SUM(J26:J37)</f>
        <v>-1082.3695500000001</v>
      </c>
      <c r="K38" s="177">
        <f>SUM(K26:K37)</f>
        <v>-1136.3380275000004</v>
      </c>
      <c r="L38" s="6"/>
      <c r="M38" s="6"/>
      <c r="N38" s="6"/>
    </row>
    <row r="39" spans="1:14">
      <c r="A39" s="117" t="s">
        <v>94</v>
      </c>
      <c r="B39" s="122" t="s">
        <v>23</v>
      </c>
      <c r="C39" s="119" t="s">
        <v>23</v>
      </c>
      <c r="D39" s="121" t="s">
        <v>23</v>
      </c>
      <c r="E39" s="6"/>
      <c r="F39" s="121"/>
      <c r="G39" s="128"/>
      <c r="H39" s="128"/>
      <c r="I39" s="128"/>
      <c r="J39" s="128"/>
      <c r="K39" s="128"/>
      <c r="L39" s="6"/>
      <c r="M39" s="6"/>
      <c r="N39" s="6"/>
    </row>
    <row r="40" spans="1:14">
      <c r="A40" s="119" t="s">
        <v>95</v>
      </c>
      <c r="B40" s="121">
        <v>-4473</v>
      </c>
      <c r="C40" s="121">
        <v>-5904</v>
      </c>
      <c r="D40" s="121">
        <v>-8753</v>
      </c>
      <c r="E40" s="121">
        <v>-9032</v>
      </c>
      <c r="F40" s="121">
        <v>-11035</v>
      </c>
      <c r="G40" s="177">
        <f>Table3[[#This Row],[2024]]*1.07</f>
        <v>-11807.45</v>
      </c>
      <c r="H40" s="177">
        <f>Table3[[#This Row],[2025E]]*1.07</f>
        <v>-12633.971500000001</v>
      </c>
      <c r="I40" s="177">
        <f>Table3[[#This Row],[2026E]]*1.07</f>
        <v>-13518.349505000002</v>
      </c>
      <c r="J40" s="177">
        <f>Table3[[#This Row],[2027E]]*1.07</f>
        <v>-14464.633970350003</v>
      </c>
      <c r="K40" s="177">
        <f>Table3[[#This Row],[2028E]]*1.07</f>
        <v>-15477.158348274505</v>
      </c>
      <c r="L40" s="6"/>
      <c r="M40" s="6"/>
      <c r="N40" s="6"/>
    </row>
    <row r="41" spans="1:14">
      <c r="A41" s="119" t="s">
        <v>96</v>
      </c>
      <c r="B41" s="121">
        <v>-1605</v>
      </c>
      <c r="C41" s="121">
        <v>-1741</v>
      </c>
      <c r="D41" s="121">
        <v>-1903</v>
      </c>
      <c r="E41" s="121">
        <v>-2158</v>
      </c>
      <c r="F41" s="121">
        <v>-2448</v>
      </c>
      <c r="G41" s="177">
        <f>-'Profit Loss'!G20*Assumptions!F8</f>
        <v>-4212.3976020000009</v>
      </c>
      <c r="H41" s="177">
        <f>-'Profit Loss'!H20*Assumptions!F8</f>
        <v>-4735.8312422400013</v>
      </c>
      <c r="I41" s="177">
        <f>-'Profit Loss'!I20*Assumptions!F8</f>
        <v>-5223.4349463954013</v>
      </c>
      <c r="J41" s="177">
        <f>-'Profit Loss'!J20*Assumptions!F8</f>
        <v>-5705.1491902644984</v>
      </c>
      <c r="K41" s="177">
        <f>-'Profit Loss'!K20*Assumptions!F8</f>
        <v>-6170.6688330069483</v>
      </c>
      <c r="L41" s="6"/>
      <c r="M41" s="6"/>
      <c r="N41" s="6"/>
    </row>
    <row r="42" spans="1:14">
      <c r="A42" s="119" t="s">
        <v>97</v>
      </c>
      <c r="B42" s="121">
        <v>3959</v>
      </c>
      <c r="C42" s="121">
        <v>2024</v>
      </c>
      <c r="D42" s="121">
        <v>1123</v>
      </c>
      <c r="E42" s="121">
        <v>1554</v>
      </c>
      <c r="F42" s="121">
        <v>3960</v>
      </c>
      <c r="G42" s="177">
        <v>3960</v>
      </c>
      <c r="H42" s="177">
        <v>3960</v>
      </c>
      <c r="I42" s="177">
        <v>3960</v>
      </c>
      <c r="J42" s="177">
        <v>3960</v>
      </c>
      <c r="K42" s="177">
        <v>3960</v>
      </c>
      <c r="L42" s="6"/>
      <c r="M42" s="6"/>
      <c r="N42" s="6"/>
    </row>
    <row r="43" spans="1:14">
      <c r="A43" s="119" t="s">
        <v>98</v>
      </c>
      <c r="B43" s="121">
        <v>0</v>
      </c>
      <c r="C43" s="121">
        <v>-650</v>
      </c>
      <c r="D43" s="121">
        <v>-724</v>
      </c>
      <c r="E43" s="121">
        <v>0</v>
      </c>
      <c r="F43" s="121">
        <v>-1336</v>
      </c>
      <c r="G43" s="177">
        <v>-1336</v>
      </c>
      <c r="H43" s="177">
        <v>-1336</v>
      </c>
      <c r="I43" s="177">
        <v>-1336</v>
      </c>
      <c r="J43" s="177">
        <v>-1336</v>
      </c>
      <c r="K43" s="177">
        <v>-1336</v>
      </c>
      <c r="L43" s="6"/>
      <c r="M43" s="6"/>
      <c r="N43" s="6"/>
    </row>
    <row r="44" spans="1:14">
      <c r="A44" s="119" t="s">
        <v>99</v>
      </c>
      <c r="B44" s="121">
        <v>-49</v>
      </c>
      <c r="C44" s="121">
        <v>0</v>
      </c>
      <c r="D44" s="121">
        <v>-4</v>
      </c>
      <c r="E44" s="121">
        <v>0</v>
      </c>
      <c r="F44" s="121">
        <v>0</v>
      </c>
      <c r="G44" s="177">
        <v>0</v>
      </c>
      <c r="H44" s="177">
        <v>0</v>
      </c>
      <c r="I44" s="177">
        <v>0</v>
      </c>
      <c r="J44" s="177">
        <v>0</v>
      </c>
      <c r="K44" s="177">
        <v>0</v>
      </c>
      <c r="L44" s="6"/>
      <c r="M44" s="6"/>
      <c r="N44" s="6"/>
    </row>
    <row r="45" spans="1:14">
      <c r="A45" s="119" t="s">
        <v>109</v>
      </c>
      <c r="B45" s="121">
        <v>0</v>
      </c>
      <c r="C45" s="121">
        <v>-133</v>
      </c>
      <c r="D45" s="121">
        <v>0</v>
      </c>
      <c r="E45" s="121">
        <v>0</v>
      </c>
      <c r="F45" s="121">
        <v>0</v>
      </c>
      <c r="G45" s="177">
        <v>0</v>
      </c>
      <c r="H45" s="177">
        <v>0</v>
      </c>
      <c r="I45" s="177">
        <v>0</v>
      </c>
      <c r="J45" s="177">
        <v>0</v>
      </c>
      <c r="K45" s="177">
        <v>0</v>
      </c>
      <c r="L45" s="6"/>
      <c r="M45" s="6"/>
      <c r="N45" s="6"/>
    </row>
    <row r="46" spans="1:14">
      <c r="A46" s="119" t="s">
        <v>100</v>
      </c>
      <c r="B46" s="121">
        <v>0</v>
      </c>
      <c r="C46" s="121">
        <v>-64</v>
      </c>
      <c r="D46" s="121">
        <v>0</v>
      </c>
      <c r="E46" s="121">
        <v>0</v>
      </c>
      <c r="F46" s="121">
        <v>0</v>
      </c>
      <c r="G46" s="177">
        <v>0</v>
      </c>
      <c r="H46" s="177">
        <v>0</v>
      </c>
      <c r="I46" s="177">
        <v>0</v>
      </c>
      <c r="J46" s="177">
        <v>0</v>
      </c>
      <c r="K46" s="177">
        <v>0</v>
      </c>
      <c r="L46" s="6"/>
      <c r="M46" s="6"/>
      <c r="N46" s="6"/>
    </row>
    <row r="47" spans="1:14">
      <c r="A47" s="119" t="s">
        <v>101</v>
      </c>
      <c r="B47" s="121">
        <v>-150</v>
      </c>
      <c r="C47" s="121">
        <v>-133</v>
      </c>
      <c r="D47" s="121">
        <v>-141</v>
      </c>
      <c r="E47" s="121">
        <v>-89</v>
      </c>
      <c r="F47" s="121">
        <v>-178</v>
      </c>
      <c r="G47" s="177">
        <f>Table3[[#This Row],[2024]]*1.05</f>
        <v>-186.9</v>
      </c>
      <c r="H47" s="177">
        <f>Table3[[#This Row],[2025E]]*1.05</f>
        <v>-196.245</v>
      </c>
      <c r="I47" s="177">
        <f>Table3[[#This Row],[2026E]]*1.05</f>
        <v>-206.05725000000001</v>
      </c>
      <c r="J47" s="177">
        <f>Table3[[#This Row],[2027E]]*1.05</f>
        <v>-216.36011250000001</v>
      </c>
      <c r="K47" s="177">
        <f>Table3[[#This Row],[2028E]]*1.05</f>
        <v>-227.17811812500003</v>
      </c>
      <c r="L47" s="6"/>
      <c r="M47" s="6"/>
      <c r="N47" s="6"/>
    </row>
    <row r="48" spans="1:14">
      <c r="A48" s="119" t="s">
        <v>102</v>
      </c>
      <c r="B48" s="121">
        <v>97</v>
      </c>
      <c r="C48" s="121">
        <v>61</v>
      </c>
      <c r="D48" s="121">
        <v>90</v>
      </c>
      <c r="E48" s="121">
        <v>237</v>
      </c>
      <c r="F48" s="121">
        <v>224</v>
      </c>
      <c r="G48" s="177">
        <f>Table3[[#This Row],[2024]]*1.05</f>
        <v>235.20000000000002</v>
      </c>
      <c r="H48" s="177">
        <f>Table3[[#This Row],[2025E]]*1.05</f>
        <v>246.96000000000004</v>
      </c>
      <c r="I48" s="177">
        <f>Table3[[#This Row],[2026E]]*1.05</f>
        <v>259.30800000000005</v>
      </c>
      <c r="J48" s="177">
        <f>Table3[[#This Row],[2027E]]*1.05</f>
        <v>272.27340000000004</v>
      </c>
      <c r="K48" s="177">
        <f>Table3[[#This Row],[2028E]]*1.05</f>
        <v>285.88707000000005</v>
      </c>
      <c r="L48" s="6"/>
      <c r="M48" s="6"/>
      <c r="N48" s="6"/>
    </row>
    <row r="49" spans="1:14">
      <c r="A49" s="119" t="s">
        <v>103</v>
      </c>
      <c r="B49" s="121">
        <v>69</v>
      </c>
      <c r="C49" s="121">
        <v>-15</v>
      </c>
      <c r="D49" s="121">
        <v>-16</v>
      </c>
      <c r="E49" s="121">
        <v>0</v>
      </c>
      <c r="F49" s="121">
        <v>-23</v>
      </c>
      <c r="G49" s="177">
        <v>-23</v>
      </c>
      <c r="H49" s="177">
        <v>-23</v>
      </c>
      <c r="I49" s="177">
        <v>-23</v>
      </c>
      <c r="J49" s="177">
        <v>-23</v>
      </c>
      <c r="K49" s="177">
        <v>-23</v>
      </c>
      <c r="L49" s="6"/>
      <c r="M49" s="6"/>
      <c r="N49" s="6"/>
    </row>
    <row r="50" spans="1:14" ht="18" customHeight="1">
      <c r="A50" s="162" t="s">
        <v>104</v>
      </c>
      <c r="B50" s="118">
        <v>-2152</v>
      </c>
      <c r="C50" s="118">
        <v>-6555</v>
      </c>
      <c r="D50" s="118">
        <v>-10328</v>
      </c>
      <c r="E50" s="118">
        <v>-9488</v>
      </c>
      <c r="F50" s="118">
        <v>-10836</v>
      </c>
      <c r="G50" s="177">
        <f>SUM(G40:G49)</f>
        <v>-13370.547602000001</v>
      </c>
      <c r="H50" s="177">
        <f>SUM(H40:H49)</f>
        <v>-14718.087742240004</v>
      </c>
      <c r="I50" s="177">
        <f>SUM(I40:I49)</f>
        <v>-16087.533701395403</v>
      </c>
      <c r="J50" s="177">
        <f>SUM(J40:J49)</f>
        <v>-17512.869873114498</v>
      </c>
      <c r="K50" s="177">
        <f>SUM(K40:K49)</f>
        <v>-18988.118229406453</v>
      </c>
      <c r="L50" s="6"/>
      <c r="M50" s="6"/>
      <c r="N50" s="6"/>
    </row>
    <row r="51" spans="1:14">
      <c r="A51" s="6" t="s">
        <v>105</v>
      </c>
      <c r="B51" s="121">
        <v>257</v>
      </c>
      <c r="C51" s="121">
        <v>-153</v>
      </c>
      <c r="D51" s="121">
        <v>-103</v>
      </c>
      <c r="E51" s="121">
        <v>128</v>
      </c>
      <c r="F51" s="121">
        <v>-199</v>
      </c>
      <c r="G51" s="128">
        <v>0</v>
      </c>
      <c r="H51" s="128">
        <v>0</v>
      </c>
      <c r="I51" s="128">
        <v>0</v>
      </c>
      <c r="J51" s="128">
        <v>0</v>
      </c>
      <c r="K51" s="128">
        <v>0</v>
      </c>
      <c r="L51" s="6"/>
      <c r="M51" s="6"/>
      <c r="N51" s="6"/>
    </row>
    <row r="52" spans="1:14">
      <c r="A52" s="6" t="s">
        <v>110</v>
      </c>
      <c r="B52" s="121">
        <v>3450</v>
      </c>
      <c r="C52" s="121">
        <v>-2517</v>
      </c>
      <c r="D52" s="121">
        <v>-706</v>
      </c>
      <c r="E52" s="121">
        <v>1269</v>
      </c>
      <c r="F52" s="121">
        <v>343</v>
      </c>
      <c r="G52" s="177">
        <f>G24+G38+G50+G51</f>
        <v>5062.2624689999993</v>
      </c>
      <c r="H52" s="177">
        <f>H24+H38+H50+H51</f>
        <v>4855.2002716599927</v>
      </c>
      <c r="I52" s="177">
        <f>I24+I38+I50+I51</f>
        <v>5242.7547542916018</v>
      </c>
      <c r="J52" s="177">
        <f>J24+J38+J50+J51</f>
        <v>5551.3539032513472</v>
      </c>
      <c r="K52" s="177">
        <f>K24+K38+K50+K51</f>
        <v>5752.4536336423662</v>
      </c>
      <c r="L52" s="6"/>
      <c r="M52" s="6"/>
      <c r="N52" s="6"/>
    </row>
    <row r="53" spans="1:14">
      <c r="A53" s="6" t="s">
        <v>106</v>
      </c>
      <c r="B53" s="121">
        <v>8969</v>
      </c>
      <c r="C53" s="121">
        <v>12419</v>
      </c>
      <c r="D53" s="120">
        <v>9902</v>
      </c>
      <c r="E53" s="121">
        <v>9196</v>
      </c>
      <c r="F53" s="121">
        <v>10465</v>
      </c>
      <c r="G53" s="177">
        <f>Balance_Sheet!F4</f>
        <v>8442</v>
      </c>
      <c r="H53" s="177">
        <f>G54</f>
        <v>13504.262468999999</v>
      </c>
      <c r="I53" s="177">
        <f>H54</f>
        <v>18359.46274065999</v>
      </c>
      <c r="J53" s="177">
        <f>I54</f>
        <v>23602.21749495159</v>
      </c>
      <c r="K53" s="177">
        <f>J54</f>
        <v>29153.571398202937</v>
      </c>
      <c r="L53" s="6"/>
      <c r="M53" s="6"/>
      <c r="N53" s="6"/>
    </row>
    <row r="54" spans="1:14">
      <c r="A54" s="6" t="s">
        <v>107</v>
      </c>
      <c r="B54" s="120">
        <v>12419</v>
      </c>
      <c r="C54" s="120">
        <v>9902</v>
      </c>
      <c r="D54" s="120">
        <v>9196</v>
      </c>
      <c r="E54" s="120">
        <v>10465</v>
      </c>
      <c r="F54" s="120">
        <v>10808</v>
      </c>
      <c r="G54" s="177">
        <f>G53+G52</f>
        <v>13504.262468999999</v>
      </c>
      <c r="H54" s="177">
        <f>H53+H52</f>
        <v>18359.46274065999</v>
      </c>
      <c r="I54" s="177">
        <f>I53+I52</f>
        <v>23602.21749495159</v>
      </c>
      <c r="J54" s="177">
        <f>J53+J52</f>
        <v>29153.571398202937</v>
      </c>
      <c r="K54" s="177">
        <f>K53+K52</f>
        <v>34906.025031845304</v>
      </c>
      <c r="L54" s="6"/>
      <c r="M54" s="6"/>
      <c r="N54" s="6"/>
    </row>
    <row r="55" spans="1:14">
      <c r="A55" s="6" t="s">
        <v>911</v>
      </c>
      <c r="B55" s="121">
        <f t="shared" ref="B55:F55" si="0">B24-B31</f>
        <v>7563</v>
      </c>
      <c r="C55" s="121">
        <f t="shared" si="0"/>
        <v>9870</v>
      </c>
      <c r="D55" s="121">
        <f t="shared" si="0"/>
        <v>11637</v>
      </c>
      <c r="E55" s="121">
        <f t="shared" si="0"/>
        <v>12351</v>
      </c>
      <c r="F55" s="121">
        <f t="shared" si="0"/>
        <v>15254</v>
      </c>
      <c r="G55" s="118">
        <f>G24-ABS(G31)</f>
        <v>18870.510071000001</v>
      </c>
      <c r="H55" s="118">
        <f>H24-ABS(H31)</f>
        <v>20032.723013899998</v>
      </c>
      <c r="I55" s="118">
        <f>I24-ABS(I31)</f>
        <v>21812.545205687005</v>
      </c>
      <c r="J55" s="118">
        <f>J24-ABS(J31)</f>
        <v>23570.443363865845</v>
      </c>
      <c r="K55" s="118">
        <f>K24-ABS(K31)</f>
        <v>25271.952429923822</v>
      </c>
    </row>
  </sheetData>
  <phoneticPr fontId="2" type="noConversion"/>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AD91-275F-4380-9E66-48E6481A38ED}">
  <dimension ref="A1:Q104"/>
  <sheetViews>
    <sheetView zoomScale="61" zoomScaleNormal="80" workbookViewId="0"/>
  </sheetViews>
  <sheetFormatPr defaultRowHeight="14"/>
  <cols>
    <col min="1" max="1" width="51.4140625" customWidth="1"/>
    <col min="2" max="2" width="19.4140625" customWidth="1"/>
    <col min="3" max="3" width="16" customWidth="1"/>
    <col min="4" max="4" width="16.4140625" customWidth="1"/>
    <col min="5" max="5" width="15.83203125" customWidth="1"/>
    <col min="6" max="6" width="17.25" customWidth="1"/>
    <col min="7" max="7" width="16.75" customWidth="1"/>
    <col min="8" max="8" width="12.1640625" customWidth="1"/>
    <col min="9" max="9" width="12" customWidth="1"/>
    <col min="10" max="10" width="13.25" customWidth="1"/>
    <col min="11" max="11" width="13.75" customWidth="1"/>
    <col min="12" max="12" width="17.4140625" customWidth="1"/>
    <col min="13" max="13" width="11.75" customWidth="1"/>
    <col min="14" max="14" width="11.25" customWidth="1"/>
    <col min="15" max="15" width="11.1640625" customWidth="1"/>
    <col min="16" max="16" width="9.75" customWidth="1"/>
    <col min="17" max="17" width="10" customWidth="1"/>
    <col min="18" max="18" width="9.83203125" customWidth="1"/>
  </cols>
  <sheetData>
    <row r="1" spans="1:17">
      <c r="A1" s="6" t="s">
        <v>172</v>
      </c>
      <c r="B1" s="6" t="s">
        <v>117</v>
      </c>
      <c r="C1" s="6" t="s">
        <v>118</v>
      </c>
      <c r="D1" s="6" t="s">
        <v>119</v>
      </c>
      <c r="E1" s="6" t="s">
        <v>120</v>
      </c>
      <c r="F1" s="6" t="s">
        <v>121</v>
      </c>
      <c r="G1" s="66" t="s">
        <v>156</v>
      </c>
      <c r="H1" s="66" t="s">
        <v>157</v>
      </c>
      <c r="I1" s="66" t="s">
        <v>158</v>
      </c>
      <c r="J1" s="66" t="s">
        <v>159</v>
      </c>
      <c r="K1" s="66" t="s">
        <v>160</v>
      </c>
      <c r="L1" s="6"/>
      <c r="M1" s="6"/>
      <c r="N1" s="6"/>
      <c r="O1" s="6"/>
      <c r="P1" s="6"/>
      <c r="Q1" s="6"/>
    </row>
    <row r="2" spans="1:17">
      <c r="A2" s="47" t="s">
        <v>173</v>
      </c>
      <c r="B2" s="47">
        <v>2020</v>
      </c>
      <c r="C2" s="47">
        <v>2021</v>
      </c>
      <c r="D2" s="47">
        <v>2022</v>
      </c>
      <c r="E2" s="47">
        <v>2023</v>
      </c>
      <c r="F2" s="47">
        <v>2024</v>
      </c>
      <c r="G2" s="67" t="s">
        <v>124</v>
      </c>
      <c r="H2" s="67" t="s">
        <v>125</v>
      </c>
      <c r="I2" s="67" t="s">
        <v>126</v>
      </c>
      <c r="J2" s="67" t="s">
        <v>127</v>
      </c>
      <c r="K2" s="67" t="s">
        <v>128</v>
      </c>
      <c r="L2" s="6" t="s">
        <v>495</v>
      </c>
      <c r="M2" s="6" t="s">
        <v>156</v>
      </c>
      <c r="N2" s="6" t="s">
        <v>157</v>
      </c>
      <c r="O2" s="6" t="s">
        <v>158</v>
      </c>
      <c r="P2" s="6" t="s">
        <v>159</v>
      </c>
      <c r="Q2" s="6" t="s">
        <v>160</v>
      </c>
    </row>
    <row r="3" spans="1:17">
      <c r="A3" s="38" t="s">
        <v>161</v>
      </c>
      <c r="B3" s="49">
        <f>'Profit Loss'!B4/'Profit Loss'!B4</f>
        <v>1</v>
      </c>
      <c r="C3" s="49">
        <f>'Profit Loss'!C4/'Profit Loss'!C4</f>
        <v>1</v>
      </c>
      <c r="D3" s="49">
        <f>'Profit Loss'!D4/'Profit Loss'!D4</f>
        <v>1</v>
      </c>
      <c r="E3" s="49">
        <f>'Profit Loss'!E4/'Profit Loss'!E4</f>
        <v>1</v>
      </c>
      <c r="F3" s="49">
        <f>'Profit Loss'!F4/'Profit Loss'!F4</f>
        <v>1</v>
      </c>
      <c r="G3" s="68">
        <f>'Profit Loss'!G4/'Profit Loss'!G4</f>
        <v>1</v>
      </c>
      <c r="H3" s="68">
        <f>'Profit Loss'!H4/'Profit Loss'!H4</f>
        <v>1</v>
      </c>
      <c r="I3" s="68">
        <f>'Profit Loss'!I4/'Profit Loss'!I4</f>
        <v>1</v>
      </c>
      <c r="J3" s="68">
        <f>'Profit Loss'!J4/'Profit Loss'!J4</f>
        <v>1</v>
      </c>
      <c r="K3" s="68">
        <f>'Profit Loss'!K4/'Profit Loss'!K4</f>
        <v>1</v>
      </c>
      <c r="L3" s="6" t="s">
        <v>149</v>
      </c>
      <c r="M3" s="42">
        <v>0.12</v>
      </c>
      <c r="N3" s="42">
        <v>0.11</v>
      </c>
      <c r="O3" s="42">
        <v>0.1</v>
      </c>
      <c r="P3" s="42">
        <v>0.09</v>
      </c>
      <c r="Q3" s="42">
        <v>0.08</v>
      </c>
    </row>
    <row r="4" spans="1:17">
      <c r="A4" s="38" t="s">
        <v>162</v>
      </c>
      <c r="B4" s="51">
        <f>'Profit Loss'!B6/Table1[[#This Row],[2020]]</f>
        <v>0.38624926475393767</v>
      </c>
      <c r="C4" s="51">
        <f>Table10[[#This Row],[2020]]*(1+2%)</f>
        <v>0.39397425004901643</v>
      </c>
      <c r="D4" s="51">
        <f>Table10[[#This Row],[2021]]*(1+2%)</f>
        <v>0.40185373504999677</v>
      </c>
      <c r="E4" s="51">
        <f>Table10[[#This Row],[2022]]*(1+2%)</f>
        <v>0.40989080975099673</v>
      </c>
      <c r="F4" s="51">
        <f>Table10[[#This Row],[2023]]*(1+2%)</f>
        <v>0.4180886259460167</v>
      </c>
      <c r="G4" s="69">
        <f>G3*Table35[[#This Row],[2025]]</f>
        <v>0.42</v>
      </c>
      <c r="H4" s="69">
        <f>H3*Table35[[#This Row],[2026]]</f>
        <v>0.42499999999999999</v>
      </c>
      <c r="I4" s="69">
        <f>I3*Table35[[#This Row],[2027]]</f>
        <v>0.43</v>
      </c>
      <c r="J4" s="69">
        <f>J3*Table35[[#This Row],[2028]]</f>
        <v>0.43</v>
      </c>
      <c r="K4" s="69">
        <f>K3*Table35[[#This Row],[2029]]</f>
        <v>0.43</v>
      </c>
      <c r="L4" s="6" t="s">
        <v>496</v>
      </c>
      <c r="M4" s="42">
        <v>0.42</v>
      </c>
      <c r="N4" s="41">
        <v>0.42499999999999999</v>
      </c>
      <c r="O4" s="42">
        <v>0.43</v>
      </c>
      <c r="P4" s="42">
        <v>0.43</v>
      </c>
      <c r="Q4" s="42">
        <v>0.43</v>
      </c>
    </row>
    <row r="5" spans="1:17">
      <c r="A5" s="38" t="s">
        <v>163</v>
      </c>
      <c r="B5" s="51">
        <f>'Profit Loss'!B7/'Profit Loss'!B4</f>
        <v>4.2938370041173776E-2</v>
      </c>
      <c r="C5" s="51">
        <f>'Profit Loss'!C7/'Profit Loss'!C4</f>
        <v>4.7394619783944082E-2</v>
      </c>
      <c r="D5" s="51">
        <f>'Profit Loss'!D7/'Profit Loss'!D4</f>
        <v>3.5481404865764267E-2</v>
      </c>
      <c r="E5" s="51">
        <f>'Profit Loss'!E7/'Profit Loss'!E4</f>
        <v>3.2871145111164235E-2</v>
      </c>
      <c r="F5" s="51">
        <f>'Profit Loss'!F7/'Profit Loss'!F4</f>
        <v>2.893456882167075E-2</v>
      </c>
      <c r="G5" s="69">
        <f>Table35[[#This Row],[2025]]</f>
        <v>0.03</v>
      </c>
      <c r="H5" s="69">
        <f>Table35[[#This Row],[2025]]</f>
        <v>0.03</v>
      </c>
      <c r="I5" s="69">
        <f>Table35[[#This Row],[2025]]</f>
        <v>0.03</v>
      </c>
      <c r="J5" s="69">
        <f>Table35[[#This Row],[2025]]</f>
        <v>0.03</v>
      </c>
      <c r="K5" s="69">
        <f>Table35[[#This Row],[2025]]</f>
        <v>0.03</v>
      </c>
      <c r="L5" s="6" t="s">
        <v>497</v>
      </c>
      <c r="M5" s="42">
        <v>0.03</v>
      </c>
      <c r="N5" s="42">
        <v>0.03</v>
      </c>
      <c r="O5" s="42">
        <v>0.03</v>
      </c>
      <c r="P5" s="42">
        <v>0.03</v>
      </c>
      <c r="Q5" s="42">
        <v>0.03</v>
      </c>
    </row>
    <row r="6" spans="1:17">
      <c r="A6" s="38" t="s">
        <v>164</v>
      </c>
      <c r="B6" s="51">
        <f>'Profit Loss'!B8/'Profit Loss'!B4</f>
        <v>3.7906019214430431E-2</v>
      </c>
      <c r="C6" s="51">
        <f>'Profit Loss'!C8/'Profit Loss'!C4</f>
        <v>3.8445244651556874E-2</v>
      </c>
      <c r="D6" s="51">
        <f>'Profit Loss'!D8/'Profit Loss'!D4</f>
        <v>3.3727571165175156E-2</v>
      </c>
      <c r="E6" s="51">
        <f>'Profit Loss'!E8/'Profit Loss'!E4</f>
        <v>3.1835205992509365E-2</v>
      </c>
      <c r="F6" s="51">
        <f>'Profit Loss'!F8/'Profit Loss'!F4</f>
        <v>3.1845776973053574E-2</v>
      </c>
      <c r="G6" s="69">
        <f>Table35[[#This Row],[2025]]</f>
        <v>0.03</v>
      </c>
      <c r="H6" s="69">
        <f>Table35[[#This Row],[2025]]</f>
        <v>0.03</v>
      </c>
      <c r="I6" s="69">
        <f>Table35[[#This Row],[2025]]</f>
        <v>0.03</v>
      </c>
      <c r="J6" s="69">
        <f>Table35[[#This Row],[2025]]</f>
        <v>0.03</v>
      </c>
      <c r="K6" s="69">
        <f>Table35[[#This Row],[2025]]</f>
        <v>0.03</v>
      </c>
      <c r="L6" s="6" t="s">
        <v>498</v>
      </c>
      <c r="M6" s="42">
        <v>0.03</v>
      </c>
      <c r="N6" s="41">
        <v>2.9000000000000001E-2</v>
      </c>
      <c r="O6" s="41">
        <v>2.8000000000000001E-2</v>
      </c>
      <c r="P6" s="41">
        <v>2.7E-2</v>
      </c>
      <c r="Q6" s="41">
        <v>2.5999999999999999E-2</v>
      </c>
    </row>
    <row r="7" spans="1:17">
      <c r="A7" s="38" t="s">
        <v>165</v>
      </c>
      <c r="B7" s="51">
        <f>'Profit Loss'!B9/'Profit Loss'!B4</f>
        <v>4.7709300045748644E-3</v>
      </c>
      <c r="C7" s="51">
        <f>'Profit Loss'!C9/'Profit Loss'!C4</f>
        <v>4.977758949375132E-3</v>
      </c>
      <c r="D7" s="51">
        <f>'Profit Loss'!D9/'Profit Loss'!D4</f>
        <v>1.6009353779736474E-2</v>
      </c>
      <c r="E7" s="51">
        <f>'Profit Loss'!E9/'Profit Loss'!E4</f>
        <v>2.1475814805960634E-2</v>
      </c>
      <c r="F7" s="51">
        <f>'Profit Loss'!F9/'Profit Loss'!F4</f>
        <v>2.4141726133418539E-2</v>
      </c>
      <c r="G7" s="69">
        <f>'Profit Loss'!G9/'Profit Loss'!G4</f>
        <v>2.2836767964044564E-2</v>
      </c>
      <c r="H7" s="69">
        <f>'Profit Loss'!H9/'Profit Loss'!H4</f>
        <v>2.1798733056587992E-2</v>
      </c>
      <c r="I7" s="69">
        <f>'Profit Loss'!I9/'Profit Loss'!I4</f>
        <v>2.0998779549924209E-2</v>
      </c>
      <c r="J7" s="69">
        <f>'Profit Loss'!J9/'Profit Loss'!J4</f>
        <v>2.0415480117981874E-2</v>
      </c>
      <c r="K7" s="69">
        <f>'Profit Loss'!K9/'Profit Loss'!K4</f>
        <v>2.0033882358767258E-2</v>
      </c>
      <c r="L7" s="6" t="s">
        <v>499</v>
      </c>
      <c r="M7" s="42">
        <v>0.05</v>
      </c>
      <c r="N7" s="42">
        <v>0.05</v>
      </c>
      <c r="O7" s="42">
        <v>0.05</v>
      </c>
      <c r="P7" s="42">
        <v>0.05</v>
      </c>
      <c r="Q7" s="42">
        <v>0.05</v>
      </c>
    </row>
    <row r="8" spans="1:17">
      <c r="A8" s="38" t="s">
        <v>166</v>
      </c>
      <c r="B8" s="70">
        <f>'Profit Loss'!B10/'Profit Loss'!B4</f>
        <v>0.47186458401411674</v>
      </c>
      <c r="C8" s="70">
        <f>'Profit Loss'!C10/'Profit Loss'!C4</f>
        <v>0.46610887523829697</v>
      </c>
      <c r="D8" s="70">
        <f>'Profit Loss'!D10/'Profit Loss'!D4</f>
        <v>0.44848675630705581</v>
      </c>
      <c r="E8" s="70">
        <f>'Profit Loss'!E10/'Profit Loss'!E4</f>
        <v>0.44186787791855925</v>
      </c>
      <c r="F8" s="70">
        <f>'Profit Loss'!F10/'Profit Loss'!F4</f>
        <v>0.44679944616040046</v>
      </c>
      <c r="G8" s="71">
        <f>'Profit Loss'!G10/'Profit Loss'!G4</f>
        <v>0.45</v>
      </c>
      <c r="H8" s="71">
        <f>'Profit Loss'!H10/'Profit Loss'!H4</f>
        <v>0.44</v>
      </c>
      <c r="I8" s="71">
        <f>'Profit Loss'!I10/'Profit Loss'!I4</f>
        <v>0.435</v>
      </c>
      <c r="J8" s="71">
        <f>'Profit Loss'!J10/'Profit Loss'!J4</f>
        <v>0.43</v>
      </c>
      <c r="K8" s="71">
        <f>'Profit Loss'!K10/'Profit Loss'!K4</f>
        <v>0.42499999999999999</v>
      </c>
      <c r="L8" s="6" t="s">
        <v>500</v>
      </c>
      <c r="M8" s="42">
        <v>0.04</v>
      </c>
      <c r="N8" s="42">
        <v>0.04</v>
      </c>
      <c r="O8" s="42">
        <v>0.04</v>
      </c>
      <c r="P8" s="42">
        <v>0.04</v>
      </c>
      <c r="Q8" s="42">
        <v>0.04</v>
      </c>
    </row>
    <row r="9" spans="1:17">
      <c r="A9" s="3" t="s">
        <v>155</v>
      </c>
      <c r="B9" s="70">
        <f>'Profit Loss'!B11/'Profit Loss'!B4</f>
        <v>0.52813541598588332</v>
      </c>
      <c r="C9" s="70">
        <f>'Profit Loss'!C11/'Profit Loss'!C4</f>
        <v>0.53389112476170308</v>
      </c>
      <c r="D9" s="70">
        <f>'Profit Loss'!D11/'Profit Loss'!D4</f>
        <v>0.55151324369294419</v>
      </c>
      <c r="E9" s="70">
        <f>'Profit Loss'!E11/'Profit Loss'!E4</f>
        <v>0.55813212208144081</v>
      </c>
      <c r="F9" s="70">
        <f>'Profit Loss'!F11/'Profit Loss'!F4</f>
        <v>0.55320055383959954</v>
      </c>
      <c r="G9" s="71">
        <f>'Profit Loss'!G11/'Profit Loss'!G4</f>
        <v>0.55000000000000004</v>
      </c>
      <c r="H9" s="71">
        <f>'Profit Loss'!H11/'Profit Loss'!H4</f>
        <v>0.55999999999999994</v>
      </c>
      <c r="I9" s="71">
        <f>'Profit Loss'!I11/'Profit Loss'!I4</f>
        <v>0.56499999999999995</v>
      </c>
      <c r="J9" s="71">
        <f>'Profit Loss'!J11/'Profit Loss'!J4</f>
        <v>0.57000000000000006</v>
      </c>
      <c r="K9" s="71">
        <f>'Profit Loss'!K11/'Profit Loss'!K4</f>
        <v>0.57499999999999996</v>
      </c>
      <c r="L9" s="6" t="s">
        <v>501</v>
      </c>
      <c r="M9" s="42">
        <v>0.3</v>
      </c>
      <c r="N9" s="42">
        <v>0.32</v>
      </c>
      <c r="O9" s="42">
        <v>0.33</v>
      </c>
      <c r="P9" s="42">
        <v>0.34</v>
      </c>
      <c r="Q9" s="42">
        <v>0.35</v>
      </c>
    </row>
    <row r="10" spans="1:17">
      <c r="A10" s="38" t="s">
        <v>167</v>
      </c>
      <c r="B10" s="51">
        <f>'Profit Loss'!B13/'Profit Loss'!B4</f>
        <v>1.5685249330109144E-3</v>
      </c>
      <c r="C10" s="51">
        <f>'Profit Loss'!C13/'Profit Loss'!C4</f>
        <v>5.8250370684177083E-4</v>
      </c>
      <c r="D10" s="51">
        <f>'Profit Loss'!D13/'Profit Loss'!D4</f>
        <v>2.7431757881009127E-3</v>
      </c>
      <c r="E10" s="51">
        <f>'Profit Loss'!E13/'Profit Loss'!E4</f>
        <v>1.0917204558132122E-2</v>
      </c>
      <c r="F10" s="51">
        <f>'Profit Loss'!F13/'Profit Loss'!F4</f>
        <v>1.1609330067099797E-2</v>
      </c>
      <c r="G10" s="69">
        <f>'Profit Loss'!G13/'Profit Loss'!G4</f>
        <v>1.0877210152958368E-2</v>
      </c>
      <c r="H10" s="69">
        <f>'Profit Loss'!H13/'Profit Loss'!H4</f>
        <v>1.028390778097882E-2</v>
      </c>
      <c r="I10" s="69">
        <f>'Profit Loss'!I13/'Profit Loss'!I4</f>
        <v>9.8121688919430936E-3</v>
      </c>
      <c r="J10" s="69">
        <f>'Profit Loss'!J13/'Profit Loss'!J4</f>
        <v>9.448755229278535E-3</v>
      </c>
      <c r="K10" s="69">
        <f>'Profit Loss'!K13/'Profit Loss'!K4</f>
        <v>9.1838368583641826E-3</v>
      </c>
      <c r="L10" s="6" t="s">
        <v>502</v>
      </c>
      <c r="M10" s="41">
        <v>3.5000000000000003E-2</v>
      </c>
      <c r="N10" s="41">
        <v>3.5000000000000003E-2</v>
      </c>
      <c r="O10" s="41">
        <v>3.5000000000000003E-2</v>
      </c>
      <c r="P10" s="41">
        <v>3.5000000000000003E-2</v>
      </c>
      <c r="Q10" s="41">
        <v>3.5000000000000003E-2</v>
      </c>
    </row>
    <row r="11" spans="1:17">
      <c r="A11" s="38" t="s">
        <v>168</v>
      </c>
      <c r="B11" s="51">
        <f>'Profit Loss'!B15/'Profit Loss'!B4</f>
        <v>-2.4834978106006142E-2</v>
      </c>
      <c r="C11" s="51">
        <f>'Profit Loss'!C15/'Profit Loss'!C4</f>
        <v>-2.2823554331709385E-2</v>
      </c>
      <c r="D11" s="51">
        <f>'Profit Loss'!D15/'Profit Loss'!D4</f>
        <v>-2.1180914691729998E-2</v>
      </c>
      <c r="E11" s="51">
        <f>'Profit Loss'!E15/'Profit Loss'!E4</f>
        <v>-2.2910192047175072E-2</v>
      </c>
      <c r="F11" s="51">
        <f>'Profit Loss'!F15/'Profit Loss'!F4</f>
        <v>-2.2934639826747611E-2</v>
      </c>
      <c r="G11" s="69">
        <f>'Profit Loss'!G15/'Profit Loss'!G4</f>
        <v>-2.6232537788614046E-2</v>
      </c>
      <c r="H11" s="69">
        <f>'Profit Loss'!H15/'Profit Loss'!H4</f>
        <v>-2.3847761626012765E-2</v>
      </c>
      <c r="I11" s="69">
        <f>'Profit Loss'!I15/'Profit Loss'!I4</f>
        <v>-2.1878680390837398E-2</v>
      </c>
      <c r="J11" s="69">
        <f>'Profit Loss'!J15/'Profit Loss'!J4</f>
        <v>-2.0258037398923515E-2</v>
      </c>
      <c r="K11" s="69">
        <f>'Profit Loss'!K15/'Profit Loss'!K4</f>
        <v>-1.8932745232638798E-2</v>
      </c>
      <c r="L11" s="6" t="s">
        <v>114</v>
      </c>
      <c r="M11" s="42">
        <v>0.16</v>
      </c>
      <c r="N11" s="42">
        <v>0.16</v>
      </c>
      <c r="O11" s="42">
        <v>0.16</v>
      </c>
      <c r="P11" s="42">
        <v>0.16</v>
      </c>
      <c r="Q11" s="42">
        <v>0.16</v>
      </c>
    </row>
    <row r="12" spans="1:17">
      <c r="A12" s="38" t="s">
        <v>169</v>
      </c>
      <c r="B12" s="51">
        <f>'Profit Loss'!B17/'Profit Loss'!B4</f>
        <v>-2.097902097902098E-2</v>
      </c>
      <c r="C12" s="51">
        <f>'Profit Loss'!C17/'Profit Loss'!C4</f>
        <v>1.1914848549036221E-2</v>
      </c>
      <c r="D12" s="51">
        <f>'Profit Loss'!D17/'Profit Loss'!D4</f>
        <v>-2.3924090479830913E-2</v>
      </c>
      <c r="E12" s="51">
        <f>'Profit Loss'!E17/'Profit Loss'!E4</f>
        <v>-1.4702366722448004E-2</v>
      </c>
      <c r="F12" s="51">
        <f>'Profit Loss'!F17/'Profit Loss'!F4</f>
        <v>-1.1644832605531296E-2</v>
      </c>
      <c r="G12" s="69">
        <f>'Profit Loss'!G17/'Profit Loss'!G4</f>
        <v>-1.5355327635655678E-2</v>
      </c>
      <c r="H12" s="69">
        <f>'Profit Loss'!H17/'Profit Loss'!H4</f>
        <v>-1.3563853845033946E-2</v>
      </c>
      <c r="I12" s="69">
        <f>'Profit Loss'!I17/'Profit Loss'!I4</f>
        <v>-1.2066511498894305E-2</v>
      </c>
      <c r="J12" s="69">
        <f>'Profit Loss'!J17/'Profit Loss'!J4</f>
        <v>-1.0809282169644982E-2</v>
      </c>
      <c r="K12" s="69">
        <f>'Profit Loss'!K17/'Profit Loss'!K4</f>
        <v>-9.7489083742746153E-3</v>
      </c>
      <c r="L12" s="6"/>
      <c r="M12" s="6"/>
      <c r="N12" s="6"/>
      <c r="O12" s="6"/>
      <c r="P12" s="6"/>
      <c r="Q12" s="6"/>
    </row>
    <row r="13" spans="1:17">
      <c r="A13" s="38" t="s">
        <v>170</v>
      </c>
      <c r="B13" s="51">
        <f>'Profit Loss'!B18/'Profit Loss'!B4</f>
        <v>0.50715639500686227</v>
      </c>
      <c r="C13" s="51">
        <f>'Profit Loss'!C18/'Profit Loss'!C4</f>
        <v>0.54580597331073921</v>
      </c>
      <c r="D13" s="51">
        <f>'Profit Loss'!D18/'Profit Loss'!D4</f>
        <v>0.52758915321311328</v>
      </c>
      <c r="E13" s="51">
        <f>'Profit Loss'!E18/'Profit Loss'!E4</f>
        <v>0.54342975535899274</v>
      </c>
      <c r="F13" s="51">
        <f>'Profit Loss'!F18/'Profit Loss'!F4</f>
        <v>0.54155572123406825</v>
      </c>
      <c r="G13" s="69">
        <f>'Profit Loss'!G18/'Profit Loss'!G4</f>
        <v>0.53464467236434443</v>
      </c>
      <c r="H13" s="69">
        <f>'Profit Loss'!H18/'Profit Loss'!H4</f>
        <v>0.54643614615496605</v>
      </c>
      <c r="I13" s="69">
        <f>'Profit Loss'!I18/'Profit Loss'!I4</f>
        <v>0.55293348850110569</v>
      </c>
      <c r="J13" s="69">
        <f>'Profit Loss'!J18/'Profit Loss'!J4</f>
        <v>0.55919071783035501</v>
      </c>
      <c r="K13" s="69">
        <f>'Profit Loss'!K18/'Profit Loss'!K4</f>
        <v>0.56525109162572529</v>
      </c>
      <c r="L13" s="6"/>
      <c r="M13" s="5" t="s">
        <v>525</v>
      </c>
      <c r="N13" s="72" t="s">
        <v>527</v>
      </c>
      <c r="O13" s="6"/>
      <c r="P13" s="6"/>
      <c r="Q13" s="6"/>
    </row>
    <row r="14" spans="1:17">
      <c r="A14" s="38" t="s">
        <v>171</v>
      </c>
      <c r="B14" s="51">
        <f>'Profit Loss'!B19/'Profit Loss'!B4</f>
        <v>8.8164172276321812E-2</v>
      </c>
      <c r="C14" s="51">
        <f>'Profit Loss'!C19/'Profit Loss'!C4</f>
        <v>8.5786909553060786E-2</v>
      </c>
      <c r="D14" s="51">
        <f>'Profit Loss'!D19/'Profit Loss'!D4</f>
        <v>8.1036110986194176E-2</v>
      </c>
      <c r="E14" s="51">
        <f>'Profit Loss'!E19/'Profit Loss'!E4</f>
        <v>9.7378277153558054E-2</v>
      </c>
      <c r="F14" s="51">
        <f>'Profit Loss'!F19/'Profit Loss'!F4</f>
        <v>8.4496041466964891E-2</v>
      </c>
      <c r="G14" s="69">
        <f>'Profit Loss'!G19/'Profit Loss'!G4</f>
        <v>8.5543147578295106E-2</v>
      </c>
      <c r="H14" s="69">
        <f>'Profit Loss'!H19/'Profit Loss'!H4</f>
        <v>8.7429783384794568E-2</v>
      </c>
      <c r="I14" s="69">
        <f>'Profit Loss'!I19/'Profit Loss'!I4</f>
        <v>8.8469358160176911E-2</v>
      </c>
      <c r="J14" s="69">
        <f>'Profit Loss'!J19/'Profit Loss'!J4</f>
        <v>8.9470514852856814E-2</v>
      </c>
      <c r="K14" s="69">
        <f>'Profit Loss'!K19/'Profit Loss'!K4</f>
        <v>9.0440174660116057E-2</v>
      </c>
      <c r="L14" s="6"/>
      <c r="M14" s="5" t="s">
        <v>526</v>
      </c>
      <c r="N14" s="73" t="s">
        <v>528</v>
      </c>
      <c r="O14" s="6"/>
      <c r="P14" s="6"/>
      <c r="Q14" s="6"/>
    </row>
    <row r="15" spans="1:17">
      <c r="A15" s="3" t="s">
        <v>18</v>
      </c>
      <c r="B15" s="51">
        <f>'Profit Loss'!B20/'Profit Loss'!B4</f>
        <v>0.41899222273054049</v>
      </c>
      <c r="C15" s="51">
        <f>'Profit Loss'!C20/'Profit Loss'!C4</f>
        <v>0.46001906375767848</v>
      </c>
      <c r="D15" s="51">
        <f>'Profit Loss'!D20/'Profit Loss'!D4</f>
        <v>0.44655304222691911</v>
      </c>
      <c r="E15" s="51">
        <f>'Profit Loss'!E20/'Profit Loss'!E4</f>
        <v>0.44605147820543467</v>
      </c>
      <c r="F15" s="51">
        <f>'Profit Loss'!F20/'Profit Loss'!F4</f>
        <v>0.45705967976710332</v>
      </c>
      <c r="G15" s="69">
        <f>'Profit Loss'!G20/'Profit Loss'!G4</f>
        <v>0.44910152478604931</v>
      </c>
      <c r="H15" s="69">
        <f>'Profit Loss'!H20/'Profit Loss'!H4</f>
        <v>0.45900636277017148</v>
      </c>
      <c r="I15" s="69">
        <f>'Profit Loss'!I20/'Profit Loss'!I4</f>
        <v>0.46446413034092882</v>
      </c>
      <c r="J15" s="69">
        <f>'Profit Loss'!J20/'Profit Loss'!J4</f>
        <v>0.46972020297749828</v>
      </c>
      <c r="K15" s="69">
        <f>'Profit Loss'!K20/'Profit Loss'!K4</f>
        <v>0.47481091696560923</v>
      </c>
      <c r="L15" s="6"/>
      <c r="M15" s="6"/>
      <c r="N15" s="6"/>
      <c r="O15" s="6"/>
      <c r="P15" s="6"/>
      <c r="Q15" s="6"/>
    </row>
    <row r="16" spans="1:17">
      <c r="A16" s="3" t="s">
        <v>143</v>
      </c>
      <c r="B16" s="51">
        <f>'Profit Loss'!B25/'Profit Loss'!B4</f>
        <v>0.56604143520031369</v>
      </c>
      <c r="C16" s="51">
        <f>'Profit Loss'!C25/'Profit Loss'!C4</f>
        <v>0.57233636941325994</v>
      </c>
      <c r="D16" s="51">
        <f>'Profit Loss'!D25/'Profit Loss'!D4</f>
        <v>0.5852408148581193</v>
      </c>
      <c r="E16" s="51">
        <f>'Profit Loss'!E25/'Profit Loss'!E4</f>
        <v>0.58996732807395014</v>
      </c>
      <c r="F16" s="51">
        <f>'Profit Loss'!F25/'Profit Loss'!F4</f>
        <v>0.58504633081265311</v>
      </c>
      <c r="G16" s="69">
        <f>'Profit Loss'!G25/'Profit Loss'!G4</f>
        <v>0.58098508029810614</v>
      </c>
      <c r="H16" s="69">
        <f>'Profit Loss'!H25/'Profit Loss'!H4</f>
        <v>0.590421715201777</v>
      </c>
      <c r="I16" s="69">
        <f>'Profit Loss'!I25/'Profit Loss'!I4</f>
        <v>0.59514261689717352</v>
      </c>
      <c r="J16" s="69">
        <f>'Profit Loss'!J25/'Profit Loss'!J4</f>
        <v>0.60014261689717352</v>
      </c>
      <c r="K16" s="69">
        <f>'Profit Loss'!K25/'Profit Loss'!K4</f>
        <v>0.60542432359714715</v>
      </c>
      <c r="L16" s="6"/>
      <c r="M16" s="6"/>
      <c r="N16" s="6"/>
      <c r="O16" s="6"/>
      <c r="P16" s="6"/>
      <c r="Q16" s="6"/>
    </row>
    <row r="17" spans="1:17">
      <c r="A17" s="6"/>
      <c r="B17" s="6"/>
      <c r="C17" s="6"/>
      <c r="D17" s="6"/>
      <c r="E17" s="6"/>
      <c r="F17" s="6"/>
      <c r="G17" s="66"/>
      <c r="H17" s="66"/>
      <c r="I17" s="66"/>
      <c r="J17" s="66"/>
      <c r="K17" s="66"/>
      <c r="L17" s="6"/>
      <c r="M17" s="6"/>
      <c r="N17" s="6"/>
      <c r="O17" s="6"/>
      <c r="P17" s="6"/>
      <c r="Q17" s="6"/>
    </row>
    <row r="18" spans="1:17">
      <c r="A18" s="5" t="s">
        <v>185</v>
      </c>
      <c r="B18" s="6" t="s">
        <v>117</v>
      </c>
      <c r="C18" s="6" t="s">
        <v>118</v>
      </c>
      <c r="D18" s="6" t="s">
        <v>119</v>
      </c>
      <c r="E18" s="6" t="s">
        <v>120</v>
      </c>
      <c r="F18" s="6" t="s">
        <v>121</v>
      </c>
      <c r="G18" s="66" t="s">
        <v>156</v>
      </c>
      <c r="H18" s="66" t="s">
        <v>157</v>
      </c>
      <c r="I18" s="66" t="s">
        <v>158</v>
      </c>
      <c r="J18" s="66" t="s">
        <v>159</v>
      </c>
      <c r="K18" s="66" t="s">
        <v>160</v>
      </c>
      <c r="L18" s="6"/>
      <c r="M18" s="6"/>
      <c r="N18" s="6"/>
      <c r="O18" s="6"/>
      <c r="P18" s="6"/>
      <c r="Q18" s="6"/>
    </row>
    <row r="19" spans="1:17">
      <c r="A19" s="47" t="s">
        <v>173</v>
      </c>
      <c r="B19" s="47">
        <v>2020</v>
      </c>
      <c r="C19" s="47">
        <v>2021</v>
      </c>
      <c r="D19" s="47">
        <v>2022</v>
      </c>
      <c r="E19" s="47">
        <v>2023</v>
      </c>
      <c r="F19" s="47">
        <v>2024</v>
      </c>
      <c r="G19" s="67" t="s">
        <v>124</v>
      </c>
      <c r="H19" s="67" t="s">
        <v>125</v>
      </c>
      <c r="I19" s="67" t="s">
        <v>126</v>
      </c>
      <c r="J19" s="67" t="s">
        <v>127</v>
      </c>
      <c r="K19" s="67" t="s">
        <v>128</v>
      </c>
      <c r="L19" s="6"/>
      <c r="M19" s="6"/>
      <c r="N19" s="6"/>
      <c r="O19" s="6"/>
      <c r="P19" s="6"/>
      <c r="Q19" s="6"/>
    </row>
    <row r="20" spans="1:17">
      <c r="A20" s="38" t="s">
        <v>174</v>
      </c>
      <c r="B20" s="51">
        <f>Balance_Sheet!B4/Balance_Sheet!B18</f>
        <v>0.30112553596950931</v>
      </c>
      <c r="C20" s="51">
        <f>Balance_Sheet!C4/Balance_Sheet!C18</f>
        <v>0.19700549523480845</v>
      </c>
      <c r="D20" s="51">
        <f>Balance_Sheet!D4/Balance_Sheet!D18</f>
        <v>0.18097303997520917</v>
      </c>
      <c r="E20" s="51">
        <f>Balance_Sheet!E4/Balance_Sheet!E18</f>
        <v>0.20231813041839428</v>
      </c>
      <c r="F20" s="51">
        <f>Balance_Sheet!F4/Balance_Sheet!F18</f>
        <v>0.17557871092531355</v>
      </c>
      <c r="G20" s="69">
        <f>M9</f>
        <v>0.3</v>
      </c>
      <c r="H20" s="69">
        <f>N9</f>
        <v>0.32</v>
      </c>
      <c r="I20" s="69">
        <f>O9</f>
        <v>0.33</v>
      </c>
      <c r="J20" s="69">
        <f>P9</f>
        <v>0.34</v>
      </c>
      <c r="K20" s="69">
        <f>Q9</f>
        <v>0.35</v>
      </c>
      <c r="L20" s="6"/>
      <c r="M20" s="6"/>
      <c r="N20" s="6"/>
      <c r="O20" s="6"/>
      <c r="P20" s="6"/>
      <c r="Q20" s="6"/>
    </row>
    <row r="21" spans="1:17">
      <c r="A21" s="38" t="s">
        <v>175</v>
      </c>
      <c r="B21" s="51">
        <f>Balance_Sheet!B7/Balance_Sheet!B18</f>
        <v>7.8787517865650303E-2</v>
      </c>
      <c r="C21" s="51">
        <f>Balance_Sheet!C7/Balance_Sheet!C18</f>
        <v>7.9800366348987226E-2</v>
      </c>
      <c r="D21" s="51">
        <f>Balance_Sheet!D7/Balance_Sheet!D18</f>
        <v>8.8446441483317845E-2</v>
      </c>
      <c r="E21" s="51">
        <f>Balance_Sheet!E7/Balance_Sheet!E18</f>
        <v>1.394647568790049E-2</v>
      </c>
      <c r="F21" s="51">
        <f>Balance_Sheet!F7/Balance_Sheet!F18</f>
        <v>6.8634179821551134E-3</v>
      </c>
      <c r="G21" s="69">
        <f>Balance_Sheet!G7/Balance_Sheet!G18</f>
        <v>6.2318024127291172E-3</v>
      </c>
      <c r="H21" s="69">
        <f>Balance_Sheet!H7/Balance_Sheet!H18</f>
        <v>5.7047203632212516E-3</v>
      </c>
      <c r="I21" s="69">
        <f>Balance_Sheet!I7/Balance_Sheet!I18</f>
        <v>5.2553076466571088E-3</v>
      </c>
      <c r="J21" s="69">
        <f>Balance_Sheet!J7/Balance_Sheet!J18</f>
        <v>4.862995592190493E-3</v>
      </c>
      <c r="K21" s="69">
        <f>Balance_Sheet!K7/Balance_Sheet!K18</f>
        <v>4.5136326374040272E-3</v>
      </c>
      <c r="L21" s="6"/>
      <c r="M21" s="6"/>
      <c r="N21" s="6"/>
      <c r="O21" s="6"/>
      <c r="P21" s="6"/>
      <c r="Q21" s="6"/>
    </row>
    <row r="22" spans="1:17">
      <c r="A22" s="38" t="s">
        <v>176</v>
      </c>
      <c r="B22" s="51">
        <f>Balance_Sheet!B8/Balance_Sheet!B18</f>
        <v>5.0797999047165317E-2</v>
      </c>
      <c r="C22" s="51">
        <f>Balance_Sheet!C8/Balance_Sheet!C18</f>
        <v>3.5015530011415219E-2</v>
      </c>
      <c r="D22" s="51">
        <f>Balance_Sheet!D8/Balance_Sheet!D18</f>
        <v>3.2796198739799609E-2</v>
      </c>
      <c r="E22" s="51">
        <f>Balance_Sheet!E8/Balance_Sheet!E18</f>
        <v>9.5646437994722958E-2</v>
      </c>
      <c r="F22" s="51">
        <f>Balance_Sheet!F8/Balance_Sheet!F18</f>
        <v>7.8471745595973461E-2</v>
      </c>
      <c r="G22" s="69">
        <f>Balance_Sheet!G8/Balance_Sheet!G18</f>
        <v>7.1372779769718106E-2</v>
      </c>
      <c r="H22" s="69">
        <f>Balance_Sheet!H8/Balance_Sheet!H18</f>
        <v>6.5336113561679302E-2</v>
      </c>
      <c r="I22" s="69">
        <f>Balance_Sheet!I8/Balance_Sheet!I18</f>
        <v>6.018899356000449E-2</v>
      </c>
      <c r="J22" s="69">
        <f>Balance_Sheet!J8/Balance_Sheet!J18</f>
        <v>5.5695846953292834E-2</v>
      </c>
      <c r="K22" s="69">
        <f>Balance_Sheet!K8/Balance_Sheet!K18</f>
        <v>5.1694596018131589E-2</v>
      </c>
      <c r="L22" s="6"/>
      <c r="M22" s="6"/>
      <c r="N22" s="6"/>
      <c r="O22" s="6"/>
      <c r="P22" s="6"/>
      <c r="Q22" s="6"/>
    </row>
    <row r="23" spans="1:17">
      <c r="A23" s="38" t="s">
        <v>177</v>
      </c>
      <c r="B23" s="51">
        <f t="shared" ref="B23:K23" si="0">SUM(B20:B22)</f>
        <v>0.43071105288232492</v>
      </c>
      <c r="C23" s="51">
        <f t="shared" si="0"/>
        <v>0.31182139159521088</v>
      </c>
      <c r="D23" s="51">
        <f t="shared" si="0"/>
        <v>0.30221568019832662</v>
      </c>
      <c r="E23" s="51">
        <f t="shared" si="0"/>
        <v>0.31191104410101772</v>
      </c>
      <c r="F23" s="51">
        <f t="shared" si="0"/>
        <v>0.26091387450344211</v>
      </c>
      <c r="G23" s="69">
        <f t="shared" si="0"/>
        <v>0.37760458218244725</v>
      </c>
      <c r="H23" s="69">
        <f t="shared" si="0"/>
        <v>0.39104083392490052</v>
      </c>
      <c r="I23" s="69">
        <f t="shared" si="0"/>
        <v>0.39544430120666163</v>
      </c>
      <c r="J23" s="69">
        <f t="shared" si="0"/>
        <v>0.40055884254548335</v>
      </c>
      <c r="K23" s="69">
        <f t="shared" si="0"/>
        <v>0.40620822865553557</v>
      </c>
      <c r="L23" s="6"/>
      <c r="M23" s="6"/>
      <c r="N23" s="6"/>
      <c r="O23" s="6"/>
      <c r="P23" s="6"/>
      <c r="Q23" s="6"/>
    </row>
    <row r="24" spans="1:17">
      <c r="A24" s="38" t="s">
        <v>178</v>
      </c>
      <c r="B24" s="51">
        <f>Balance_Sheet!B12/Balance_Sheet!B18</f>
        <v>5.663411148165793E-2</v>
      </c>
      <c r="C24" s="51">
        <f>Balance_Sheet!C12/Balance_Sheet!C18</f>
        <v>5.0625182510817913E-2</v>
      </c>
      <c r="D24" s="51">
        <f>Balance_Sheet!D12/Balance_Sheet!D18</f>
        <v>5.1802499741762216E-2</v>
      </c>
      <c r="E24" s="51">
        <f>Balance_Sheet!E12/Balance_Sheet!E18</f>
        <v>4.8553524312099507E-2</v>
      </c>
      <c r="F24" s="51">
        <f>Balance_Sheet!F12/Balance_Sheet!F18</f>
        <v>4.4466629229841306E-2</v>
      </c>
      <c r="G24" s="69">
        <f>Balance_Sheet!G12/Balance_Sheet!G18</f>
        <v>3.7879590979241679E-2</v>
      </c>
      <c r="H24" s="69">
        <f>Balance_Sheet!H12/Balance_Sheet!H18</f>
        <v>3.2784353267321389E-2</v>
      </c>
      <c r="I24" s="69">
        <f>Balance_Sheet!I12/Balance_Sheet!I18</f>
        <v>2.8816235592399063E-2</v>
      </c>
      <c r="J24" s="69">
        <f>Balance_Sheet!J12/Balance_Sheet!J18</f>
        <v>2.5677489546958098E-2</v>
      </c>
      <c r="K24" s="69">
        <f>Balance_Sheet!K12/Balance_Sheet!K18</f>
        <v>2.3164581363528364E-2</v>
      </c>
      <c r="L24" s="6"/>
      <c r="M24" s="6"/>
      <c r="N24" s="6"/>
      <c r="O24" s="6"/>
      <c r="P24" s="6"/>
      <c r="Q24" s="6"/>
    </row>
    <row r="25" spans="1:17">
      <c r="A25" s="38" t="s">
        <v>179</v>
      </c>
      <c r="B25" s="51">
        <f>Balance_Sheet!B14/Balance_Sheet!B18</f>
        <v>0.14768937589328252</v>
      </c>
      <c r="C25" s="51">
        <f>Balance_Sheet!C14/Balance_Sheet!C18</f>
        <v>0.20340332899731875</v>
      </c>
      <c r="D25" s="51">
        <f>Balance_Sheet!D14/Balance_Sheet!D18</f>
        <v>0.19424646214234068</v>
      </c>
      <c r="E25" s="51">
        <f>Balance_Sheet!E14/Balance_Sheet!E18</f>
        <v>0.18045608744817188</v>
      </c>
      <c r="F25" s="51">
        <f>Balance_Sheet!F14/Balance_Sheet!F18</f>
        <v>0.1911981863937938</v>
      </c>
      <c r="G25" s="69">
        <f>Balance_Sheet!G14/Balance_Sheet!G18</f>
        <v>0.15661072527891307</v>
      </c>
      <c r="H25" s="69">
        <f>Balance_Sheet!H14/Balance_Sheet!H18</f>
        <v>0.1303315323600234</v>
      </c>
      <c r="I25" s="69">
        <f>Balance_Sheet!I14/Balance_Sheet!I18</f>
        <v>0.11015057980031681</v>
      </c>
      <c r="J25" s="69">
        <f>Balance_Sheet!J14/Balance_Sheet!J18</f>
        <v>9.4377563926552471E-2</v>
      </c>
      <c r="K25" s="69">
        <f>Balance_Sheet!K14/Balance_Sheet!K18</f>
        <v>8.1866706427154171E-2</v>
      </c>
      <c r="L25" s="6"/>
      <c r="M25" s="6"/>
      <c r="N25" s="6"/>
      <c r="O25" s="6"/>
      <c r="P25" s="6"/>
      <c r="Q25" s="6"/>
    </row>
    <row r="26" spans="1:17">
      <c r="A26" s="38" t="s">
        <v>180</v>
      </c>
      <c r="B26" s="51">
        <f>Balance_Sheet!B17/Balance_Sheet!B18</f>
        <v>0.15974868985231061</v>
      </c>
      <c r="C26" s="51">
        <f>Balance_Sheet!C17/Balance_Sheet!C18</f>
        <v>0.18566991425309937</v>
      </c>
      <c r="D26" s="51">
        <f>Balance_Sheet!D17/Balance_Sheet!D18</f>
        <v>0.19574424129738663</v>
      </c>
      <c r="E26" s="51">
        <f>Balance_Sheet!E17/Balance_Sheet!E18</f>
        <v>0.19612231436110064</v>
      </c>
      <c r="F26" s="51">
        <f>Balance_Sheet!F17/Balance_Sheet!F18</f>
        <v>0.20712963540691751</v>
      </c>
      <c r="G26" s="69">
        <f>Balance_Sheet!G17/Balance_Sheet!G18</f>
        <v>0.18828565409399511</v>
      </c>
      <c r="H26" s="69">
        <f>Balance_Sheet!H17/Balance_Sheet!H18</f>
        <v>0.17236056823920617</v>
      </c>
      <c r="I26" s="69">
        <f>Balance_Sheet!I17/Balance_Sheet!I18</f>
        <v>0.15878215838404169</v>
      </c>
      <c r="J26" s="69">
        <f>Balance_Sheet!J17/Balance_Sheet!J18</f>
        <v>0.14692896938797773</v>
      </c>
      <c r="K26" s="69">
        <f>Balance_Sheet!K17/Balance_Sheet!K18</f>
        <v>0.13637343054036952</v>
      </c>
      <c r="L26" s="6"/>
      <c r="M26" s="6"/>
      <c r="N26" s="6"/>
      <c r="O26" s="6"/>
      <c r="P26" s="6"/>
      <c r="Q26" s="6"/>
    </row>
    <row r="27" spans="1:17">
      <c r="A27" s="3" t="s">
        <v>39</v>
      </c>
      <c r="B27" s="74">
        <v>1</v>
      </c>
      <c r="C27" s="74">
        <v>1</v>
      </c>
      <c r="D27" s="74">
        <v>1</v>
      </c>
      <c r="E27" s="74">
        <v>1</v>
      </c>
      <c r="F27" s="74">
        <v>1</v>
      </c>
      <c r="G27" s="75">
        <v>1</v>
      </c>
      <c r="H27" s="75">
        <v>1</v>
      </c>
      <c r="I27" s="75">
        <v>1</v>
      </c>
      <c r="J27" s="75">
        <v>1</v>
      </c>
      <c r="K27" s="75">
        <v>1</v>
      </c>
      <c r="L27" s="6"/>
      <c r="M27" s="6"/>
      <c r="N27" s="6"/>
      <c r="O27" s="6"/>
      <c r="P27" s="6"/>
      <c r="Q27" s="6"/>
    </row>
    <row r="28" spans="1:17">
      <c r="A28" s="38" t="s">
        <v>186</v>
      </c>
      <c r="B28" s="51"/>
      <c r="C28" s="38"/>
      <c r="D28" s="38"/>
      <c r="E28" s="38"/>
      <c r="F28" s="38"/>
      <c r="G28" s="76"/>
      <c r="H28" s="76"/>
      <c r="I28" s="76"/>
      <c r="J28" s="76"/>
      <c r="K28" s="76"/>
      <c r="L28" s="6"/>
      <c r="M28" s="6"/>
      <c r="N28" s="6"/>
      <c r="O28" s="6"/>
      <c r="P28" s="6"/>
      <c r="Q28" s="6"/>
    </row>
    <row r="29" spans="1:17">
      <c r="A29" s="38" t="s">
        <v>181</v>
      </c>
      <c r="B29" s="51">
        <f>Balance_Sheet!B20/Balance_Sheet!B18</f>
        <v>1.5691996188661267E-2</v>
      </c>
      <c r="C29" s="51">
        <f>Balance_Sheet!C20/Balance_Sheet!C18</f>
        <v>1.9591706708433992E-2</v>
      </c>
      <c r="D29" s="51">
        <f>Balance_Sheet!D20/Balance_Sheet!D18</f>
        <v>2.3912818923664911E-2</v>
      </c>
      <c r="E29" s="51">
        <f>Balance_Sheet!E20/Balance_Sheet!E18</f>
        <v>1.9647568790049003E-2</v>
      </c>
      <c r="F29" s="51">
        <f>Balance_Sheet!F20/Balance_Sheet!F18</f>
        <v>1.9321561531582123E-2</v>
      </c>
      <c r="G29" s="69">
        <f>Balance_Sheet!G20/Balance_Sheet!G18</f>
        <v>1.7576878600005206E-2</v>
      </c>
      <c r="H29" s="69">
        <f>Balance_Sheet!H20/Balance_Sheet!H18</f>
        <v>1.6090236921906094E-2</v>
      </c>
      <c r="I29" s="69">
        <f>Balance_Sheet!I20/Balance_Sheet!I18</f>
        <v>1.4822662593135435E-2</v>
      </c>
      <c r="J29" s="69">
        <f>Balance_Sheet!J20/Balance_Sheet!J18</f>
        <v>1.3716141413870623E-2</v>
      </c>
      <c r="K29" s="69">
        <f>Balance_Sheet!K20/Balance_Sheet!K18</f>
        <v>1.2730758720883152E-2</v>
      </c>
      <c r="L29" s="6"/>
      <c r="M29" s="6"/>
      <c r="N29" s="6"/>
      <c r="O29" s="6"/>
      <c r="P29" s="6"/>
      <c r="Q29" s="6"/>
    </row>
    <row r="30" spans="1:17">
      <c r="A30" s="38" t="s">
        <v>187</v>
      </c>
      <c r="B30" s="51">
        <f>Balance_Sheet!B21/Balance_Sheet!B18</f>
        <v>4.3919723677941877E-2</v>
      </c>
      <c r="C30" s="51">
        <f>Balance_Sheet!C21/Balance_Sheet!C18</f>
        <v>2.4237436618970508E-2</v>
      </c>
      <c r="D30" s="51">
        <f>Balance_Sheet!D21/Balance_Sheet!D18</f>
        <v>2.8690217952690836E-2</v>
      </c>
      <c r="E30" s="51">
        <f>Balance_Sheet!E21/Balance_Sheet!E18</f>
        <v>3.2957972107048622E-2</v>
      </c>
      <c r="F30" s="51">
        <f>Balance_Sheet!F21/Balance_Sheet!F18</f>
        <v>4.8168715292943157E-2</v>
      </c>
      <c r="G30" s="69">
        <f>Balance_Sheet!G21/Balance_Sheet!G18</f>
        <v>4.3675880157588678E-2</v>
      </c>
      <c r="H30" s="69">
        <f>Balance_Sheet!H21/Balance_Sheet!H18</f>
        <v>3.9981800836251503E-2</v>
      </c>
      <c r="I30" s="69">
        <f>Balance_Sheet!I21/Balance_Sheet!I18</f>
        <v>3.6832070685972891E-2</v>
      </c>
      <c r="J30" s="69">
        <f>Balance_Sheet!J21/Balance_Sheet!J18</f>
        <v>3.4082533210223968E-2</v>
      </c>
      <c r="K30" s="69">
        <f>Balance_Sheet!K21/Balance_Sheet!K18</f>
        <v>3.1634006518558133E-2</v>
      </c>
      <c r="L30" s="6"/>
      <c r="M30" s="6"/>
      <c r="N30" s="6"/>
      <c r="O30" s="6"/>
      <c r="P30" s="6"/>
      <c r="Q30" s="6"/>
    </row>
    <row r="31" spans="1:17">
      <c r="A31" s="38" t="s">
        <v>182</v>
      </c>
      <c r="B31" s="51">
        <f>Balance_Sheet!B24/Balance_Sheet!B18</f>
        <v>0.16168413530252501</v>
      </c>
      <c r="C31" s="51">
        <f>Balance_Sheet!C24/Balance_Sheet!C18</f>
        <v>0.1763253603759059</v>
      </c>
      <c r="D31" s="51">
        <f>Balance_Sheet!D24/Balance_Sheet!D18</f>
        <v>0.20145129635368247</v>
      </c>
      <c r="E31" s="51">
        <f>Balance_Sheet!E24/Balance_Sheet!E18</f>
        <v>0.20064549566528458</v>
      </c>
      <c r="F31" s="51">
        <f>Balance_Sheet!F24/Balance_Sheet!F18</f>
        <v>0.21615606996526696</v>
      </c>
      <c r="G31" s="69">
        <f>Balance_Sheet!G24/Balance_Sheet!G18</f>
        <v>0.1965414607091491</v>
      </c>
      <c r="H31" s="69">
        <f>Balance_Sheet!H24/Balance_Sheet!H18</f>
        <v>0.17991810376313178</v>
      </c>
      <c r="I31" s="69">
        <f>Balance_Sheet!I24/Balance_Sheet!I18</f>
        <v>0.16574431808687803</v>
      </c>
      <c r="J31" s="69">
        <f>Balance_Sheet!J24/Balance_Sheet!J18</f>
        <v>0.15337139944600786</v>
      </c>
      <c r="K31" s="69">
        <f>Balance_Sheet!K24/Balance_Sheet!K18</f>
        <v>0.1423530293335116</v>
      </c>
      <c r="L31" s="6"/>
      <c r="M31" s="6"/>
      <c r="N31" s="6"/>
      <c r="O31" s="6"/>
      <c r="P31" s="6"/>
      <c r="Q31" s="6"/>
    </row>
    <row r="32" spans="1:17">
      <c r="A32" s="38" t="s">
        <v>188</v>
      </c>
      <c r="B32" s="51">
        <f>Balance_Sheet!B26/Balance_Sheet!B18</f>
        <v>3.6565030967127203E-2</v>
      </c>
      <c r="C32" s="51">
        <f>Balance_Sheet!C26/Balance_Sheet!C18</f>
        <v>3.6210146274124611E-2</v>
      </c>
      <c r="D32" s="51">
        <f>Balance_Sheet!D26/Balance_Sheet!D18</f>
        <v>3.6075818613779571E-2</v>
      </c>
      <c r="E32" s="51">
        <f>Balance_Sheet!E26/Balance_Sheet!E18</f>
        <v>3.790520165849981E-2</v>
      </c>
      <c r="F32" s="51">
        <f>Balance_Sheet!F26/Balance_Sheet!F18</f>
        <v>4.2178823235789607E-2</v>
      </c>
      <c r="G32" s="69">
        <f>Balance_Sheet!G26/Balance_Sheet!G18</f>
        <v>3.8349553309102266E-2</v>
      </c>
      <c r="H32" s="69">
        <f>Balance_Sheet!H26/Balance_Sheet!H18</f>
        <v>3.5105971465976937E-2</v>
      </c>
      <c r="I32" s="69">
        <f>Balance_Sheet!I26/Balance_Sheet!I18</f>
        <v>3.2340354748659136E-2</v>
      </c>
      <c r="J32" s="69">
        <f>Balance_Sheet!J26/Balance_Sheet!J18</f>
        <v>2.9926126721172269E-2</v>
      </c>
      <c r="K32" s="69">
        <f>Balance_Sheet!K26/Balance_Sheet!K18</f>
        <v>2.7776200845563245E-2</v>
      </c>
      <c r="L32" s="6"/>
      <c r="M32" s="6"/>
      <c r="N32" s="6"/>
      <c r="O32" s="6"/>
      <c r="P32" s="6"/>
      <c r="Q32" s="6"/>
    </row>
    <row r="33" spans="1:17">
      <c r="A33" s="38" t="s">
        <v>183</v>
      </c>
      <c r="B33" s="51">
        <f>Balance_Sheet!B27/Balance_Sheet!B18</f>
        <v>0.35275726536445928</v>
      </c>
      <c r="C33" s="51">
        <f>Balance_Sheet!C27/Balance_Sheet!C18</f>
        <v>0.3494119833284664</v>
      </c>
      <c r="D33" s="51">
        <f>Balance_Sheet!D27/Balance_Sheet!D18</f>
        <v>0.36594876562338602</v>
      </c>
      <c r="E33" s="51">
        <f>Balance_Sheet!E27/Balance_Sheet!E18</f>
        <v>0.38315114964191482</v>
      </c>
      <c r="F33" s="51">
        <f>Balance_Sheet!F27/Balance_Sheet!F18</f>
        <v>0.39974210186976145</v>
      </c>
      <c r="G33" s="69">
        <f>Balance_Sheet!G27/Balance_Sheet!G18</f>
        <v>0.35668924407370856</v>
      </c>
      <c r="H33" s="69">
        <f>Balance_Sheet!H27/Balance_Sheet!H18</f>
        <v>0.32148208775149156</v>
      </c>
      <c r="I33" s="69">
        <f>Balance_Sheet!I27/Balance_Sheet!I18</f>
        <v>0.29232345491376721</v>
      </c>
      <c r="J33" s="69">
        <f>Balance_Sheet!J27/Balance_Sheet!J18</f>
        <v>0.26758242533113846</v>
      </c>
      <c r="K33" s="69">
        <f>Balance_Sheet!K27/Balance_Sheet!K18</f>
        <v>0.24614354122968832</v>
      </c>
      <c r="L33" s="6"/>
      <c r="M33" s="6"/>
      <c r="N33" s="6"/>
      <c r="O33" s="6"/>
      <c r="P33" s="6"/>
      <c r="Q33" s="6"/>
    </row>
    <row r="34" spans="1:17">
      <c r="A34" s="38" t="s">
        <v>184</v>
      </c>
      <c r="B34" s="51">
        <f>Balance_Sheet!B28/Balance_Sheet!B18</f>
        <v>0.35799785612196283</v>
      </c>
      <c r="C34" s="51">
        <f>Balance_Sheet!C28/Balance_Sheet!C18</f>
        <v>0.34800499084127534</v>
      </c>
      <c r="D34" s="51">
        <f>Balance_Sheet!D28/Balance_Sheet!D18</f>
        <v>0.35505113108149983</v>
      </c>
      <c r="E34" s="51">
        <f>Balance_Sheet!E28/Balance_Sheet!E18</f>
        <v>0.33791933660007539</v>
      </c>
      <c r="F34" s="51">
        <f>Balance_Sheet!F28/Balance_Sheet!F18</f>
        <v>0.36346997774588713</v>
      </c>
      <c r="G34" s="69">
        <f>Balance_Sheet!G28/Balance_Sheet!G18</f>
        <v>0.29771881159298214</v>
      </c>
      <c r="H34" s="69">
        <f>Balance_Sheet!H28/Balance_Sheet!H18</f>
        <v>0.24776175998300543</v>
      </c>
      <c r="I34" s="69">
        <f>Balance_Sheet!I28/Balance_Sheet!I18</f>
        <v>0.20939753427502844</v>
      </c>
      <c r="J34" s="69">
        <f>Balance_Sheet!J28/Balance_Sheet!J18</f>
        <v>0.17941284751228445</v>
      </c>
      <c r="K34" s="69">
        <f>Balance_Sheet!K28/Balance_Sheet!K18</f>
        <v>0.15562956178842013</v>
      </c>
      <c r="L34" s="6"/>
      <c r="M34" s="6"/>
      <c r="N34" s="6"/>
      <c r="O34" s="6"/>
      <c r="P34" s="6"/>
      <c r="Q34" s="6"/>
    </row>
    <row r="35" spans="1:17">
      <c r="A35" s="38" t="s">
        <v>189</v>
      </c>
      <c r="B35" s="51">
        <f>Balance_Sheet!B29/Balance_Sheet!B18</f>
        <v>2.5607432110528825E-3</v>
      </c>
      <c r="C35" s="51">
        <f>Balance_Sheet!C29/Balance_Sheet!C18</f>
        <v>1.0486076083782421E-2</v>
      </c>
      <c r="D35" s="51">
        <f>Balance_Sheet!D29/Balance_Sheet!D18</f>
        <v>1.0148744964363186E-2</v>
      </c>
      <c r="E35" s="51">
        <f>Balance_Sheet!E29/Balance_Sheet!E18</f>
        <v>8.6929890689785155E-3</v>
      </c>
      <c r="F35" s="51">
        <f>Balance_Sheet!F29/Balance_Sheet!F18</f>
        <v>6.5930409101308211E-3</v>
      </c>
      <c r="G35" s="69">
        <f>Balance_Sheet!G29/Balance_Sheet!G18</f>
        <v>5.4003698372038986E-3</v>
      </c>
      <c r="H35" s="69">
        <f>Balance_Sheet!H29/Balance_Sheet!H18</f>
        <v>4.4941907710352889E-3</v>
      </c>
      <c r="I35" s="69">
        <f>Balance_Sheet!I29/Balance_Sheet!I18</f>
        <v>3.7982958551833384E-3</v>
      </c>
      <c r="J35" s="69">
        <f>Balance_Sheet!J29/Balance_Sheet!J18</f>
        <v>3.2543987560880163E-3</v>
      </c>
      <c r="K35" s="69">
        <f>Balance_Sheet!K29/Balance_Sheet!K18</f>
        <v>2.8229898767984196E-3</v>
      </c>
      <c r="L35" s="6"/>
      <c r="M35" s="6"/>
      <c r="N35" s="6"/>
      <c r="O35" s="6"/>
      <c r="P35" s="6"/>
      <c r="Q35" s="6"/>
    </row>
    <row r="36" spans="1:17">
      <c r="A36" s="38" t="s">
        <v>50</v>
      </c>
      <c r="B36" s="51">
        <f>Balance_Sheet!B31/Balance_Sheet!B18</f>
        <v>0.80594926155312052</v>
      </c>
      <c r="C36" s="51">
        <f>Balance_Sheet!C31/Balance_Sheet!C18</f>
        <v>0.80323342801773345</v>
      </c>
      <c r="D36" s="51">
        <f>Balance_Sheet!D31/Balance_Sheet!D18</f>
        <v>0.83532176428054949</v>
      </c>
      <c r="E36" s="51">
        <f>Balance_Sheet!E31/Balance_Sheet!E18</f>
        <v>0.83516302299283829</v>
      </c>
      <c r="F36" s="51">
        <f>Balance_Sheet!F31/Balance_Sheet!F18</f>
        <v>0.86449949044321039</v>
      </c>
      <c r="G36" s="69">
        <f>Balance_Sheet!G31/Balance_Sheet!G18</f>
        <v>0.74590480119586999</v>
      </c>
      <c r="H36" s="69">
        <f>Balance_Sheet!H31/Balance_Sheet!H18</f>
        <v>0.652552435221051</v>
      </c>
      <c r="I36" s="69">
        <f>Balance_Sheet!I31/Balance_Sheet!I18</f>
        <v>0.57812475478725867</v>
      </c>
      <c r="J36" s="69">
        <f>Balance_Sheet!J31/Balance_Sheet!J18</f>
        <v>0.51743509690093603</v>
      </c>
      <c r="K36" s="69">
        <f>Balance_Sheet!K31/Balance_Sheet!K18</f>
        <v>0.46695484330902892</v>
      </c>
      <c r="L36" s="6"/>
      <c r="M36" s="6"/>
      <c r="N36" s="6"/>
      <c r="O36" s="6"/>
      <c r="P36" s="6"/>
      <c r="Q36" s="6"/>
    </row>
    <row r="37" spans="1:17">
      <c r="A37" s="38" t="s">
        <v>60</v>
      </c>
      <c r="B37" s="51">
        <f>Balance_Sheet!B41/Balance_Sheet!B18</f>
        <v>0.19318723201524535</v>
      </c>
      <c r="C37" s="51">
        <f>Balance_Sheet!C41/Balance_Sheet!C18</f>
        <v>0.19599670816852052</v>
      </c>
      <c r="D37" s="51">
        <f>Balance_Sheet!D41/Balance_Sheet!D18</f>
        <v>0.16413593637020968</v>
      </c>
      <c r="E37" s="51">
        <f>Balance_Sheet!E41/Balance_Sheet!E18</f>
        <v>0.16431869581605729</v>
      </c>
      <c r="F37" s="51">
        <f>Balance_Sheet!F41/Balance_Sheet!F18</f>
        <v>0.13550050955678958</v>
      </c>
      <c r="G37" s="69">
        <f>Balance_Sheet!G41/Balance_Sheet!G18</f>
        <v>0.25409519880413001</v>
      </c>
      <c r="H37" s="69">
        <f>Balance_Sheet!H41/Balance_Sheet!H18</f>
        <v>0.347447564778949</v>
      </c>
      <c r="I37" s="69">
        <f>Balance_Sheet!I41/Balance_Sheet!I18</f>
        <v>0.42187524521274145</v>
      </c>
      <c r="J37" s="69">
        <f>Balance_Sheet!J41/Balance_Sheet!J18</f>
        <v>0.48256490309906402</v>
      </c>
      <c r="K37" s="69">
        <f>Balance_Sheet!K41/Balance_Sheet!K18</f>
        <v>0.53304515669097108</v>
      </c>
      <c r="L37" s="6"/>
      <c r="M37" s="6"/>
      <c r="N37" s="6"/>
      <c r="O37" s="6"/>
      <c r="P37" s="6"/>
      <c r="Q37" s="6"/>
    </row>
    <row r="38" spans="1:17">
      <c r="A38" s="6"/>
      <c r="B38" s="6"/>
      <c r="C38" s="6"/>
      <c r="D38" s="6"/>
      <c r="E38" s="6"/>
      <c r="F38" s="6"/>
      <c r="G38" s="66"/>
      <c r="H38" s="66"/>
      <c r="I38" s="66"/>
      <c r="J38" s="66"/>
      <c r="K38" s="66"/>
      <c r="L38" s="6"/>
      <c r="M38" s="6"/>
      <c r="N38" s="6"/>
      <c r="O38" s="6"/>
      <c r="P38" s="6"/>
      <c r="Q38" s="6"/>
    </row>
    <row r="39" spans="1:17">
      <c r="A39" s="47" t="s">
        <v>190</v>
      </c>
      <c r="B39" s="47" t="s">
        <v>117</v>
      </c>
      <c r="C39" s="47" t="s">
        <v>118</v>
      </c>
      <c r="D39" s="47" t="s">
        <v>119</v>
      </c>
      <c r="E39" s="47" t="s">
        <v>120</v>
      </c>
      <c r="F39" s="47" t="s">
        <v>121</v>
      </c>
      <c r="G39" s="67" t="s">
        <v>124</v>
      </c>
      <c r="H39" s="67" t="s">
        <v>125</v>
      </c>
      <c r="I39" s="67" t="s">
        <v>126</v>
      </c>
      <c r="J39" s="67" t="s">
        <v>127</v>
      </c>
      <c r="K39" s="67" t="s">
        <v>128</v>
      </c>
      <c r="L39" s="6"/>
      <c r="M39" s="6"/>
      <c r="N39" s="6"/>
      <c r="O39" s="6"/>
      <c r="P39" s="6"/>
      <c r="Q39" s="6"/>
    </row>
    <row r="40" spans="1:17">
      <c r="A40" s="38" t="s">
        <v>191</v>
      </c>
      <c r="B40" s="51">
        <f>'Profit Loss'!B4/Balance_Sheet!B18</f>
        <v>0.4556038589804669</v>
      </c>
      <c r="C40" s="51">
        <f>'Profit Loss'!C4/Balance_Sheet!C18</f>
        <v>0.5013140778889803</v>
      </c>
      <c r="D40" s="51">
        <f>'Profit Loss'!D4/Balance_Sheet!D18</f>
        <v>0.57424336328891645</v>
      </c>
      <c r="E40" s="51">
        <f>'Profit Loss'!E4/Balance_Sheet!E18</f>
        <v>0.59126460610629472</v>
      </c>
      <c r="F40" s="51">
        <f>'Profit Loss'!F4/Balance_Sheet!F18</f>
        <v>0.58582392213140322</v>
      </c>
      <c r="G40" s="69">
        <f>'Profit Loss'!G4/Balance_Sheet!G18</f>
        <v>0.53263268484864246</v>
      </c>
      <c r="H40" s="69">
        <f>'Profit Loss'!H4/Balance_Sheet!H18</f>
        <v>0.48758293702745736</v>
      </c>
      <c r="I40" s="69">
        <f>'Profit Loss'!I4/Balance_Sheet!I18</f>
        <v>0.44917159373137677</v>
      </c>
      <c r="J40" s="69">
        <f>'Profit Loss'!J4/Balance_Sheet!J18</f>
        <v>0.41564064890517038</v>
      </c>
      <c r="K40" s="69">
        <f>'Profit Loss'!K4/Balance_Sheet!K18</f>
        <v>0.38578056729948945</v>
      </c>
      <c r="L40" s="6"/>
      <c r="M40" s="6"/>
      <c r="N40" s="6"/>
      <c r="O40" s="6"/>
      <c r="P40" s="6"/>
      <c r="Q40" s="6"/>
    </row>
    <row r="41" spans="1:17">
      <c r="A41" s="6"/>
      <c r="B41" s="6"/>
      <c r="C41" s="6"/>
      <c r="D41" s="6"/>
      <c r="E41" s="6"/>
      <c r="F41" s="6"/>
      <c r="G41" s="66"/>
      <c r="H41" s="66"/>
      <c r="I41" s="66"/>
      <c r="J41" s="66"/>
      <c r="K41" s="66"/>
      <c r="L41" s="6"/>
      <c r="M41" s="6"/>
      <c r="N41" s="6"/>
      <c r="O41" s="6"/>
      <c r="P41" s="6"/>
      <c r="Q41" s="6"/>
    </row>
    <row r="42" spans="1:17">
      <c r="A42" s="47" t="s">
        <v>192</v>
      </c>
      <c r="B42" s="47" t="s">
        <v>117</v>
      </c>
      <c r="C42" s="47" t="s">
        <v>118</v>
      </c>
      <c r="D42" s="47" t="s">
        <v>119</v>
      </c>
      <c r="E42" s="47" t="s">
        <v>120</v>
      </c>
      <c r="F42" s="47" t="s">
        <v>121</v>
      </c>
      <c r="G42" s="67" t="s">
        <v>124</v>
      </c>
      <c r="H42" s="67" t="s">
        <v>125</v>
      </c>
      <c r="I42" s="67" t="s">
        <v>126</v>
      </c>
      <c r="J42" s="67" t="s">
        <v>127</v>
      </c>
      <c r="K42" s="67" t="s">
        <v>128</v>
      </c>
      <c r="L42" s="6"/>
      <c r="M42" s="6"/>
      <c r="N42" s="6"/>
      <c r="O42" s="6"/>
      <c r="P42" s="6"/>
      <c r="Q42" s="6"/>
    </row>
    <row r="43" spans="1:17">
      <c r="A43" s="38" t="s">
        <v>193</v>
      </c>
      <c r="B43" s="38">
        <f>Balance_Sheet!B28+Balance_Sheet!B25</f>
        <v>12672</v>
      </c>
      <c r="C43" s="38">
        <f>Balance_Sheet!C28+Balance_Sheet!C25</f>
        <v>13901</v>
      </c>
      <c r="D43" s="38">
        <f>Balance_Sheet!D28+Balance_Sheet!D25</f>
        <v>14023</v>
      </c>
      <c r="E43" s="38">
        <f>Balance_Sheet!E28+Balance_Sheet!E25</f>
        <v>15681</v>
      </c>
      <c r="F43" s="77">
        <f>Balance_Sheet!F28+Balance_Sheet!F25</f>
        <v>18226</v>
      </c>
      <c r="G43" s="76">
        <f>Balance_Sheet!G28+Balance_Sheet!G25</f>
        <v>18226</v>
      </c>
      <c r="H43" s="76">
        <f>Balance_Sheet!H28+Balance_Sheet!H25</f>
        <v>18226</v>
      </c>
      <c r="I43" s="76">
        <f>Balance_Sheet!I28+Balance_Sheet!I25</f>
        <v>18226</v>
      </c>
      <c r="J43" s="76">
        <f>Balance_Sheet!J28+Balance_Sheet!J25</f>
        <v>18226</v>
      </c>
      <c r="K43" s="76">
        <f>Balance_Sheet!K28+Balance_Sheet!K25</f>
        <v>18226</v>
      </c>
      <c r="L43" s="6"/>
      <c r="M43" s="6"/>
      <c r="N43" s="6"/>
      <c r="O43" s="6"/>
      <c r="P43" s="6"/>
      <c r="Q43" s="6"/>
    </row>
    <row r="44" spans="1:17">
      <c r="A44" s="38" t="s">
        <v>468</v>
      </c>
      <c r="B44" s="38">
        <f t="shared" ref="B44:K44" si="1">B43*10%</f>
        <v>1267.2</v>
      </c>
      <c r="C44" s="38">
        <f t="shared" si="1"/>
        <v>1390.1000000000001</v>
      </c>
      <c r="D44" s="38">
        <f t="shared" si="1"/>
        <v>1402.3000000000002</v>
      </c>
      <c r="E44" s="38">
        <f t="shared" si="1"/>
        <v>1568.1000000000001</v>
      </c>
      <c r="F44" s="38">
        <f t="shared" si="1"/>
        <v>1822.6000000000001</v>
      </c>
      <c r="G44" s="76">
        <f t="shared" si="1"/>
        <v>1822.6000000000001</v>
      </c>
      <c r="H44" s="76">
        <f t="shared" si="1"/>
        <v>1822.6000000000001</v>
      </c>
      <c r="I44" s="76">
        <f t="shared" si="1"/>
        <v>1822.6000000000001</v>
      </c>
      <c r="J44" s="76">
        <f t="shared" si="1"/>
        <v>1822.6000000000001</v>
      </c>
      <c r="K44" s="76">
        <f t="shared" si="1"/>
        <v>1822.6000000000001</v>
      </c>
      <c r="L44" s="6"/>
      <c r="M44" s="6"/>
      <c r="N44" s="6"/>
      <c r="O44" s="6"/>
      <c r="P44" s="6"/>
      <c r="Q44" s="6"/>
    </row>
    <row r="45" spans="1:17">
      <c r="A45" s="38" t="s">
        <v>469</v>
      </c>
      <c r="B45" s="38">
        <f t="shared" ref="B45:K45" si="2">B43-B44</f>
        <v>11404.8</v>
      </c>
      <c r="C45" s="38">
        <f t="shared" si="2"/>
        <v>12510.9</v>
      </c>
      <c r="D45" s="38">
        <f t="shared" si="2"/>
        <v>12620.7</v>
      </c>
      <c r="E45" s="38">
        <f t="shared" si="2"/>
        <v>14112.9</v>
      </c>
      <c r="F45" s="38">
        <f t="shared" si="2"/>
        <v>16403.400000000001</v>
      </c>
      <c r="G45" s="76">
        <f t="shared" si="2"/>
        <v>16403.400000000001</v>
      </c>
      <c r="H45" s="76">
        <f t="shared" si="2"/>
        <v>16403.400000000001</v>
      </c>
      <c r="I45" s="76">
        <f t="shared" si="2"/>
        <v>16403.400000000001</v>
      </c>
      <c r="J45" s="76">
        <f t="shared" si="2"/>
        <v>16403.400000000001</v>
      </c>
      <c r="K45" s="76">
        <f t="shared" si="2"/>
        <v>16403.400000000001</v>
      </c>
      <c r="L45" s="6"/>
      <c r="M45" s="6"/>
      <c r="N45" s="6"/>
      <c r="O45" s="6"/>
      <c r="P45" s="6"/>
      <c r="Q45" s="6"/>
    </row>
    <row r="46" spans="1:17">
      <c r="A46" s="6"/>
      <c r="B46" s="6"/>
      <c r="C46" s="6"/>
      <c r="D46" s="6"/>
      <c r="E46" s="6"/>
      <c r="F46" s="6"/>
      <c r="G46" s="66"/>
      <c r="H46" s="66"/>
      <c r="I46" s="66"/>
      <c r="J46" s="66"/>
      <c r="K46" s="66"/>
      <c r="L46" s="6"/>
      <c r="M46" s="6"/>
      <c r="N46" s="6"/>
      <c r="O46" s="6"/>
      <c r="P46" s="6"/>
      <c r="Q46" s="6"/>
    </row>
    <row r="47" spans="1:17">
      <c r="A47" s="47" t="s">
        <v>196</v>
      </c>
      <c r="B47" s="47" t="s">
        <v>117</v>
      </c>
      <c r="C47" s="47" t="s">
        <v>118</v>
      </c>
      <c r="D47" s="47" t="s">
        <v>119</v>
      </c>
      <c r="E47" s="47" t="s">
        <v>120</v>
      </c>
      <c r="F47" s="47" t="s">
        <v>121</v>
      </c>
      <c r="G47" s="67" t="s">
        <v>124</v>
      </c>
      <c r="H47" s="67" t="s">
        <v>125</v>
      </c>
      <c r="I47" s="67" t="s">
        <v>126</v>
      </c>
      <c r="J47" s="67" t="s">
        <v>127</v>
      </c>
      <c r="K47" s="67" t="s">
        <v>128</v>
      </c>
      <c r="L47" s="6"/>
      <c r="M47" s="6"/>
      <c r="N47" s="6"/>
      <c r="O47" s="6"/>
      <c r="P47" s="6"/>
      <c r="Q47" s="6"/>
    </row>
    <row r="48" spans="1:17">
      <c r="A48" s="38" t="s">
        <v>194</v>
      </c>
      <c r="B48" s="51">
        <f>'Profit Loss'!B8/'Profit Loss'!B4</f>
        <v>3.7906019214430431E-2</v>
      </c>
      <c r="C48" s="51">
        <f>'Profit Loss'!C8/'Profit Loss'!C4</f>
        <v>3.8445244651556874E-2</v>
      </c>
      <c r="D48" s="51">
        <f>'Profit Loss'!D8/'Profit Loss'!D4</f>
        <v>3.3727571165175156E-2</v>
      </c>
      <c r="E48" s="51">
        <f>'Profit Loss'!E8/'Profit Loss'!E4</f>
        <v>3.1835205992509365E-2</v>
      </c>
      <c r="F48" s="51">
        <f>'Profit Loss'!F8/'Profit Loss'!F4</f>
        <v>3.1845776973053574E-2</v>
      </c>
      <c r="G48" s="69">
        <f>'Profit Loss'!G8/'Profit Loss'!G4</f>
        <v>3.098508029810618E-2</v>
      </c>
      <c r="H48" s="69">
        <f>'Profit Loss'!H8/'Profit Loss'!H4</f>
        <v>3.0421715201776979E-2</v>
      </c>
      <c r="I48" s="69">
        <f>'Profit Loss'!I8/'Profit Loss'!I4</f>
        <v>3.014261689717352E-2</v>
      </c>
      <c r="J48" s="69">
        <f>'Profit Loss'!J8/'Profit Loss'!J4</f>
        <v>3.014261689717352E-2</v>
      </c>
      <c r="K48" s="69">
        <f>'Profit Loss'!K8/'Profit Loss'!K4</f>
        <v>3.0424323597147106E-2</v>
      </c>
      <c r="L48" s="6"/>
      <c r="M48" s="6"/>
      <c r="N48" s="6"/>
      <c r="O48" s="6"/>
      <c r="P48" s="6"/>
      <c r="Q48" s="6"/>
    </row>
    <row r="49" spans="1:17">
      <c r="A49" s="38" t="s">
        <v>195</v>
      </c>
      <c r="B49" s="51">
        <f>'Profit Loss'!B15/'Common Size'!B43</f>
        <v>-2.9987373737373736E-2</v>
      </c>
      <c r="C49" s="51">
        <f>'Profit Loss'!C15/'Common Size'!C43</f>
        <v>-3.1004963671678296E-2</v>
      </c>
      <c r="D49" s="51">
        <f>'Profit Loss'!D15/'Common Size'!D43</f>
        <v>-3.3587677387149684E-2</v>
      </c>
      <c r="E49" s="51">
        <f>'Profit Loss'!E15/'Common Size'!E43</f>
        <v>-3.6668579809961098E-2</v>
      </c>
      <c r="F49" s="51">
        <f>'Profit Loss'!F15/'Common Size'!F43</f>
        <v>-3.5443871392516188E-2</v>
      </c>
      <c r="G49" s="69">
        <f>'Profit Loss'!G15/'Common Size'!G43</f>
        <v>-4.4999999999999998E-2</v>
      </c>
      <c r="H49" s="69">
        <f>'Profit Loss'!H15/'Common Size'!H43</f>
        <v>-4.4999999999999998E-2</v>
      </c>
      <c r="I49" s="69">
        <f>'Profit Loss'!I15/'Common Size'!I43</f>
        <v>-4.4999999999999998E-2</v>
      </c>
      <c r="J49" s="69">
        <f>'Profit Loss'!J15/'Common Size'!J43</f>
        <v>-4.4999999999999998E-2</v>
      </c>
      <c r="K49" s="69">
        <f>'Profit Loss'!K15/'Common Size'!K43</f>
        <v>-4.4999999999999998E-2</v>
      </c>
      <c r="L49" s="6"/>
      <c r="M49" s="6"/>
      <c r="N49" s="6"/>
      <c r="O49" s="6"/>
      <c r="P49" s="6"/>
      <c r="Q49" s="6"/>
    </row>
    <row r="50" spans="1:17">
      <c r="A50" s="38" t="s">
        <v>114</v>
      </c>
      <c r="B50" s="51">
        <f>'Profit Loss'!B19/'Profit Loss'!B18</f>
        <v>0.173840206185567</v>
      </c>
      <c r="C50" s="51">
        <f>'Profit Loss'!C19/'Profit Loss'!C18</f>
        <v>0.15717473561657128</v>
      </c>
      <c r="D50" s="51">
        <f>'Profit Loss'!D19/'Profit Loss'!D18</f>
        <v>0.15359699965905216</v>
      </c>
      <c r="E50" s="51">
        <f>'Profit Loss'!E19/'Profit Loss'!E18</f>
        <v>0.17919202287557739</v>
      </c>
      <c r="F50" s="51">
        <f>'Profit Loss'!F19/'Profit Loss'!F18</f>
        <v>0.15602464927232201</v>
      </c>
      <c r="G50" s="69">
        <f>'Profit Loss'!G19/'Profit Loss'!G18</f>
        <v>0.16</v>
      </c>
      <c r="H50" s="69">
        <f>'Profit Loss'!H19/'Profit Loss'!H18</f>
        <v>0.16</v>
      </c>
      <c r="I50" s="69">
        <f>'Profit Loss'!I19/'Profit Loss'!I18</f>
        <v>0.16</v>
      </c>
      <c r="J50" s="69">
        <f>'Profit Loss'!J19/'Profit Loss'!J18</f>
        <v>0.16</v>
      </c>
      <c r="K50" s="69">
        <f>'Profit Loss'!K19/'Profit Loss'!K18</f>
        <v>0.16</v>
      </c>
      <c r="L50" s="6"/>
      <c r="M50" s="6"/>
      <c r="N50" s="6"/>
      <c r="O50" s="6"/>
      <c r="P50" s="6"/>
      <c r="Q50" s="6"/>
    </row>
    <row r="51" spans="1:17">
      <c r="A51" s="6"/>
      <c r="B51" s="6"/>
      <c r="C51" s="6"/>
      <c r="D51" s="6"/>
      <c r="E51" s="6"/>
      <c r="F51" s="6"/>
      <c r="G51" s="66"/>
      <c r="H51" s="66"/>
      <c r="I51" s="66"/>
      <c r="J51" s="66"/>
      <c r="K51" s="66"/>
      <c r="L51" s="6"/>
      <c r="M51" s="6"/>
      <c r="N51" s="6"/>
      <c r="O51" s="6"/>
      <c r="P51" s="6"/>
      <c r="Q51" s="6"/>
    </row>
    <row r="52" spans="1:17">
      <c r="A52" s="47" t="s">
        <v>197</v>
      </c>
      <c r="B52" s="47" t="s">
        <v>117</v>
      </c>
      <c r="C52" s="47" t="s">
        <v>118</v>
      </c>
      <c r="D52" s="47" t="s">
        <v>119</v>
      </c>
      <c r="E52" s="47" t="s">
        <v>120</v>
      </c>
      <c r="F52" s="47" t="s">
        <v>121</v>
      </c>
      <c r="G52" s="67" t="s">
        <v>124</v>
      </c>
      <c r="H52" s="78" t="s">
        <v>125</v>
      </c>
      <c r="I52" s="78" t="s">
        <v>126</v>
      </c>
      <c r="J52" s="67" t="s">
        <v>127</v>
      </c>
      <c r="K52" s="67" t="s">
        <v>128</v>
      </c>
      <c r="L52" s="6"/>
      <c r="M52" s="6"/>
      <c r="N52" s="6"/>
      <c r="O52" s="6"/>
      <c r="P52" s="6"/>
      <c r="Q52" s="6"/>
    </row>
    <row r="53" spans="1:17">
      <c r="A53" s="38" t="s">
        <v>18</v>
      </c>
      <c r="B53" s="79">
        <f>'Profit Loss'!B20</f>
        <v>6411</v>
      </c>
      <c r="C53" s="79">
        <f>'Profit Loss'!C20</f>
        <v>8687</v>
      </c>
      <c r="D53" s="79">
        <f>'Profit Loss'!D20</f>
        <v>9930</v>
      </c>
      <c r="E53" s="79">
        <f>'Profit Loss'!E20</f>
        <v>11195</v>
      </c>
      <c r="F53" s="79">
        <f>'Profit Loss'!F20</f>
        <v>12874</v>
      </c>
      <c r="G53" s="80">
        <f>'Profit Loss'!G20</f>
        <v>14041.325340000003</v>
      </c>
      <c r="H53" s="80">
        <f>'Profit Loss'!H20</f>
        <v>15786.104140800004</v>
      </c>
      <c r="I53" s="80">
        <f>'Profit Loss'!I20</f>
        <v>17411.449821318005</v>
      </c>
      <c r="J53" s="80">
        <f>'Profit Loss'!J20</f>
        <v>19017.163967548327</v>
      </c>
      <c r="K53" s="80">
        <f>'Profit Loss'!K20</f>
        <v>20568.896110023161</v>
      </c>
      <c r="L53" s="6"/>
      <c r="M53" s="6"/>
      <c r="N53" s="6"/>
      <c r="O53" s="6"/>
      <c r="P53" s="6"/>
      <c r="Q53" s="6"/>
    </row>
    <row r="54" spans="1:17">
      <c r="A54" s="38" t="s">
        <v>198</v>
      </c>
      <c r="B54" s="49">
        <f>Assumptions!F8</f>
        <v>0.3</v>
      </c>
      <c r="C54" s="49">
        <f>Assumptions!F8</f>
        <v>0.3</v>
      </c>
      <c r="D54" s="49">
        <f>Assumptions!F8</f>
        <v>0.3</v>
      </c>
      <c r="E54" s="51">
        <f>Assumptions!F8</f>
        <v>0.3</v>
      </c>
      <c r="F54" s="51">
        <f>Assumptions!F8</f>
        <v>0.3</v>
      </c>
      <c r="G54" s="69">
        <f>Assumptions!F8</f>
        <v>0.3</v>
      </c>
      <c r="H54" s="81">
        <f>Assumptions!F8</f>
        <v>0.3</v>
      </c>
      <c r="I54" s="81">
        <f>Assumptions!F8</f>
        <v>0.3</v>
      </c>
      <c r="J54" s="81">
        <f>Assumptions!F8</f>
        <v>0.3</v>
      </c>
      <c r="K54" s="81">
        <f>Assumptions!F8</f>
        <v>0.3</v>
      </c>
      <c r="L54" s="6"/>
      <c r="M54" s="6"/>
      <c r="N54" s="6"/>
      <c r="O54" s="6"/>
      <c r="P54" s="6"/>
      <c r="Q54" s="6"/>
    </row>
    <row r="55" spans="1:17">
      <c r="A55" s="38" t="s">
        <v>199</v>
      </c>
      <c r="B55" s="79">
        <f>B53*B54</f>
        <v>1923.3</v>
      </c>
      <c r="C55" s="79">
        <f t="shared" ref="C55:K55" si="3">C53*C54</f>
        <v>2606.1</v>
      </c>
      <c r="D55" s="79">
        <f t="shared" si="3"/>
        <v>2979</v>
      </c>
      <c r="E55" s="79">
        <f t="shared" si="3"/>
        <v>3358.5</v>
      </c>
      <c r="F55" s="79">
        <f t="shared" si="3"/>
        <v>3862.2</v>
      </c>
      <c r="G55" s="80">
        <f t="shared" si="3"/>
        <v>4212.3976020000009</v>
      </c>
      <c r="H55" s="80">
        <f t="shared" si="3"/>
        <v>4735.8312422400013</v>
      </c>
      <c r="I55" s="80">
        <f t="shared" si="3"/>
        <v>5223.4349463954013</v>
      </c>
      <c r="J55" s="80">
        <f t="shared" si="3"/>
        <v>5705.1491902644984</v>
      </c>
      <c r="K55" s="80">
        <f t="shared" si="3"/>
        <v>6170.6688330069483</v>
      </c>
      <c r="L55" s="6"/>
      <c r="M55" s="6"/>
      <c r="N55" s="6"/>
      <c r="O55" s="6"/>
      <c r="P55" s="6"/>
      <c r="Q55" s="6"/>
    </row>
    <row r="56" spans="1:17">
      <c r="A56" s="38" t="s">
        <v>200</v>
      </c>
      <c r="B56" s="79">
        <f>B53-B55</f>
        <v>4487.7</v>
      </c>
      <c r="C56" s="79">
        <f t="shared" ref="C56:K56" si="4">C53-C55</f>
        <v>6080.9</v>
      </c>
      <c r="D56" s="79">
        <f t="shared" si="4"/>
        <v>6951</v>
      </c>
      <c r="E56" s="79">
        <f t="shared" si="4"/>
        <v>7836.5</v>
      </c>
      <c r="F56" s="79">
        <f t="shared" si="4"/>
        <v>9011.7999999999993</v>
      </c>
      <c r="G56" s="80">
        <f t="shared" si="4"/>
        <v>9828.9277380000021</v>
      </c>
      <c r="H56" s="80">
        <f t="shared" si="4"/>
        <v>11050.272898560002</v>
      </c>
      <c r="I56" s="80">
        <f t="shared" si="4"/>
        <v>12188.014874922603</v>
      </c>
      <c r="J56" s="80">
        <f t="shared" si="4"/>
        <v>13312.014777283828</v>
      </c>
      <c r="K56" s="80">
        <f t="shared" si="4"/>
        <v>14398.227277016213</v>
      </c>
      <c r="L56" s="6"/>
      <c r="M56" s="6"/>
      <c r="N56" s="6"/>
      <c r="O56" s="6"/>
      <c r="P56" s="6"/>
      <c r="Q56" s="6"/>
    </row>
    <row r="57" spans="1:17">
      <c r="A57" s="6"/>
      <c r="B57" s="6"/>
      <c r="C57" s="6"/>
      <c r="D57" s="6"/>
      <c r="E57" s="6"/>
      <c r="F57" s="6"/>
      <c r="G57" s="66"/>
      <c r="H57" s="66"/>
      <c r="I57" s="66"/>
      <c r="J57" s="66"/>
      <c r="K57" s="66"/>
      <c r="L57" s="6"/>
      <c r="M57" s="6"/>
      <c r="N57" s="6"/>
      <c r="O57" s="6"/>
      <c r="P57" s="6"/>
      <c r="Q57" s="6"/>
    </row>
    <row r="58" spans="1:17">
      <c r="A58" s="47" t="s">
        <v>201</v>
      </c>
      <c r="B58" s="47" t="s">
        <v>112</v>
      </c>
      <c r="C58" s="6"/>
      <c r="D58" s="6"/>
      <c r="E58" s="6"/>
      <c r="F58" s="6"/>
      <c r="G58" s="66"/>
      <c r="H58" s="66"/>
      <c r="I58" s="66"/>
      <c r="J58" s="66"/>
      <c r="K58" s="66"/>
      <c r="L58" s="6"/>
      <c r="M58" s="6"/>
      <c r="N58" s="6"/>
      <c r="O58" s="6"/>
      <c r="P58" s="6"/>
      <c r="Q58" s="6"/>
    </row>
    <row r="59" spans="1:17">
      <c r="A59" s="38" t="s">
        <v>202</v>
      </c>
      <c r="B59" s="49">
        <v>4.4999999999999998E-2</v>
      </c>
      <c r="C59" s="6"/>
      <c r="D59" s="6"/>
      <c r="E59" s="6"/>
      <c r="F59" s="6"/>
      <c r="G59" s="66"/>
      <c r="H59" s="66"/>
      <c r="I59" s="66"/>
      <c r="J59" s="66"/>
      <c r="K59" s="66"/>
      <c r="L59" s="6"/>
      <c r="M59" s="6"/>
      <c r="N59" s="6"/>
      <c r="O59" s="6"/>
      <c r="P59" s="6"/>
      <c r="Q59" s="6"/>
    </row>
    <row r="60" spans="1:17">
      <c r="A60" s="38" t="s">
        <v>203</v>
      </c>
      <c r="B60" s="38" cm="1">
        <f t="array" ref="B60">Table23[Value]</f>
        <v>1.0378472999489652</v>
      </c>
      <c r="C60" s="6"/>
      <c r="D60" s="6"/>
      <c r="E60" s="6"/>
      <c r="F60" s="6"/>
      <c r="G60" s="66"/>
      <c r="H60" s="66"/>
      <c r="I60" s="66"/>
      <c r="J60" s="66"/>
      <c r="K60" s="66"/>
      <c r="L60" s="6"/>
      <c r="M60" s="6"/>
      <c r="N60" s="6"/>
      <c r="O60" s="6"/>
      <c r="P60" s="6"/>
      <c r="Q60" s="6"/>
    </row>
    <row r="61" spans="1:17">
      <c r="A61" s="38" t="s">
        <v>204</v>
      </c>
      <c r="B61" s="51">
        <v>5.5E-2</v>
      </c>
      <c r="C61" s="6"/>
      <c r="D61" s="6"/>
      <c r="E61" s="6"/>
      <c r="F61" s="6"/>
      <c r="G61" s="66"/>
      <c r="H61" s="66"/>
      <c r="I61" s="66"/>
      <c r="J61" s="66"/>
      <c r="K61" s="66"/>
      <c r="L61" s="6"/>
      <c r="M61" s="6"/>
      <c r="N61" s="6"/>
      <c r="O61" s="6"/>
      <c r="P61" s="6"/>
      <c r="Q61" s="6"/>
    </row>
    <row r="62" spans="1:17">
      <c r="A62" s="38" t="s">
        <v>205</v>
      </c>
      <c r="B62" s="51">
        <f>B59+B60*B61</f>
        <v>0.10208160149719309</v>
      </c>
      <c r="C62" s="6"/>
      <c r="D62" s="6"/>
      <c r="E62" s="6"/>
      <c r="F62" s="6"/>
      <c r="G62" s="66"/>
      <c r="H62" s="66"/>
      <c r="I62" s="66"/>
      <c r="J62" s="66"/>
      <c r="K62" s="66"/>
      <c r="L62" s="6"/>
      <c r="M62" s="6"/>
      <c r="N62" s="6"/>
      <c r="O62" s="6"/>
      <c r="P62" s="6"/>
      <c r="Q62" s="6"/>
    </row>
    <row r="63" spans="1:17">
      <c r="A63" s="6"/>
      <c r="B63" s="6"/>
      <c r="C63" s="6"/>
      <c r="D63" s="6"/>
      <c r="E63" s="6"/>
      <c r="F63" s="6"/>
      <c r="G63" s="66"/>
      <c r="H63" s="66"/>
      <c r="I63" s="66"/>
      <c r="J63" s="66"/>
      <c r="K63" s="66"/>
      <c r="L63" s="6"/>
      <c r="M63" s="6"/>
      <c r="N63" s="6"/>
      <c r="O63" s="6"/>
      <c r="P63" s="6"/>
      <c r="Q63" s="6"/>
    </row>
    <row r="64" spans="1:17">
      <c r="A64" s="47" t="s">
        <v>206</v>
      </c>
      <c r="B64" s="47" t="s">
        <v>112</v>
      </c>
      <c r="C64" s="6"/>
      <c r="D64" s="6"/>
      <c r="E64" s="6"/>
      <c r="F64" s="6"/>
      <c r="G64" s="66"/>
      <c r="H64" s="66"/>
      <c r="I64" s="66"/>
      <c r="J64" s="66"/>
      <c r="K64" s="66"/>
      <c r="L64" s="6"/>
      <c r="M64" s="6"/>
      <c r="N64" s="6"/>
      <c r="O64" s="6"/>
      <c r="P64" s="6"/>
      <c r="Q64" s="6"/>
    </row>
    <row r="65" spans="1:17">
      <c r="A65" s="38" t="s">
        <v>207</v>
      </c>
      <c r="B65" s="79">
        <v>0.8</v>
      </c>
      <c r="C65" s="6"/>
      <c r="D65" s="6"/>
      <c r="E65" s="6"/>
      <c r="F65" s="6"/>
      <c r="G65" s="66"/>
      <c r="H65" s="66"/>
      <c r="I65" s="66"/>
      <c r="J65" s="66"/>
      <c r="K65" s="66"/>
      <c r="L65" s="6"/>
      <c r="M65" s="6"/>
      <c r="N65" s="6"/>
      <c r="O65" s="6"/>
      <c r="P65" s="6"/>
      <c r="Q65" s="6"/>
    </row>
    <row r="66" spans="1:17">
      <c r="A66" s="38" t="s">
        <v>205</v>
      </c>
      <c r="B66" s="70">
        <f>B62</f>
        <v>0.10208160149719309</v>
      </c>
      <c r="C66" s="6"/>
      <c r="D66" s="6"/>
      <c r="E66" s="6"/>
      <c r="F66" s="6"/>
      <c r="G66" s="66"/>
      <c r="H66" s="66"/>
      <c r="I66" s="66"/>
      <c r="J66" s="66"/>
      <c r="K66" s="66"/>
      <c r="L66" s="6"/>
      <c r="M66" s="6"/>
      <c r="N66" s="6"/>
      <c r="O66" s="6"/>
      <c r="P66" s="6"/>
      <c r="Q66" s="6"/>
    </row>
    <row r="67" spans="1:17">
      <c r="A67" s="38" t="s">
        <v>208</v>
      </c>
      <c r="B67" s="180">
        <v>0.2</v>
      </c>
      <c r="C67" s="6"/>
      <c r="D67" s="6"/>
      <c r="E67" s="6"/>
      <c r="F67" s="6"/>
      <c r="G67" s="66"/>
      <c r="H67" s="66"/>
      <c r="I67" s="66"/>
      <c r="J67" s="66"/>
      <c r="K67" s="66"/>
      <c r="L67" s="6"/>
      <c r="M67" s="6"/>
      <c r="N67" s="6"/>
      <c r="O67" s="6"/>
      <c r="P67" s="6"/>
      <c r="Q67" s="6"/>
    </row>
    <row r="68" spans="1:17">
      <c r="A68" s="38" t="s">
        <v>209</v>
      </c>
      <c r="B68" s="82">
        <v>0.04</v>
      </c>
      <c r="C68" s="6"/>
      <c r="D68" s="6"/>
      <c r="E68" s="6"/>
      <c r="F68" s="6"/>
      <c r="G68" s="66"/>
      <c r="H68" s="66"/>
      <c r="I68" s="66"/>
      <c r="J68" s="66"/>
      <c r="K68" s="66"/>
      <c r="L68" s="6"/>
      <c r="M68" s="6"/>
      <c r="N68" s="6"/>
      <c r="O68" s="6"/>
      <c r="P68" s="6"/>
      <c r="Q68" s="6"/>
    </row>
    <row r="69" spans="1:17">
      <c r="A69" s="38" t="s">
        <v>114</v>
      </c>
      <c r="B69" s="49">
        <f>Assumptions!B21</f>
        <v>0.16</v>
      </c>
      <c r="C69" s="6"/>
      <c r="D69" s="6"/>
      <c r="E69" s="6"/>
      <c r="F69" s="6"/>
      <c r="G69" s="66"/>
      <c r="H69" s="66"/>
      <c r="I69" s="66"/>
      <c r="J69" s="66"/>
      <c r="K69" s="66"/>
      <c r="L69" s="6"/>
      <c r="M69" s="6"/>
      <c r="N69" s="6"/>
      <c r="O69" s="6"/>
      <c r="P69" s="6"/>
      <c r="Q69" s="6"/>
    </row>
    <row r="70" spans="1:17">
      <c r="A70" s="38" t="s">
        <v>210</v>
      </c>
      <c r="B70" s="51">
        <f>(B65*B66)+(B67*B68*(1-B69))</f>
        <v>8.8385281197754476E-2</v>
      </c>
      <c r="C70" s="6"/>
      <c r="D70" s="6"/>
      <c r="E70" s="6"/>
      <c r="F70" s="6"/>
      <c r="G70" s="66"/>
      <c r="H70" s="66"/>
      <c r="I70" s="66"/>
      <c r="J70" s="66"/>
      <c r="K70" s="66"/>
      <c r="L70" s="6"/>
      <c r="M70" s="6"/>
      <c r="N70" s="6"/>
      <c r="O70" s="6"/>
      <c r="P70" s="6"/>
      <c r="Q70" s="6"/>
    </row>
    <row r="71" spans="1:17">
      <c r="A71" s="6"/>
      <c r="B71" s="6"/>
      <c r="C71" s="6"/>
      <c r="D71" s="6"/>
      <c r="E71" s="6"/>
      <c r="F71" s="6"/>
      <c r="G71" s="66"/>
      <c r="H71" s="66"/>
      <c r="I71" s="66"/>
      <c r="J71" s="66"/>
      <c r="K71" s="66"/>
      <c r="L71" s="6"/>
      <c r="M71" s="6"/>
      <c r="N71" s="6"/>
      <c r="O71" s="6"/>
      <c r="P71" s="6"/>
      <c r="Q71" s="6"/>
    </row>
    <row r="72" spans="1:17" ht="17.25" customHeight="1">
      <c r="A72" s="83" t="s">
        <v>211</v>
      </c>
      <c r="B72" s="84" t="s">
        <v>117</v>
      </c>
      <c r="C72" s="84" t="s">
        <v>118</v>
      </c>
      <c r="D72" s="84" t="s">
        <v>119</v>
      </c>
      <c r="E72" s="84" t="s">
        <v>120</v>
      </c>
      <c r="F72" s="85" t="s">
        <v>121</v>
      </c>
      <c r="G72" s="86" t="s">
        <v>124</v>
      </c>
      <c r="H72" s="86" t="s">
        <v>125</v>
      </c>
      <c r="I72" s="86" t="s">
        <v>126</v>
      </c>
      <c r="J72" s="86" t="s">
        <v>127</v>
      </c>
      <c r="K72" s="87" t="s">
        <v>128</v>
      </c>
      <c r="L72" s="6"/>
      <c r="M72" s="6"/>
      <c r="N72" s="6"/>
      <c r="O72" s="6"/>
      <c r="P72" s="6"/>
      <c r="Q72" s="6"/>
    </row>
    <row r="73" spans="1:17">
      <c r="A73" s="88" t="s">
        <v>212</v>
      </c>
      <c r="B73" s="89">
        <f>'Profit Loss'!B25</f>
        <v>8661</v>
      </c>
      <c r="C73" s="89">
        <f>'Profit Loss'!C25</f>
        <v>10808</v>
      </c>
      <c r="D73" s="89">
        <f>'Profit Loss'!D25</f>
        <v>13014</v>
      </c>
      <c r="E73" s="89">
        <f>'Profit Loss'!E25</f>
        <v>14807</v>
      </c>
      <c r="F73" s="90">
        <f>'Profit Loss'!F11</f>
        <v>15582</v>
      </c>
      <c r="G73" s="91">
        <f>'Profit Loss'!G11</f>
        <v>17195.953500000003</v>
      </c>
      <c r="H73" s="91">
        <f>'Profit Loss'!H11</f>
        <v>19259.467920000003</v>
      </c>
      <c r="I73" s="91">
        <f>'Profit Loss'!I11</f>
        <v>21180.255925950005</v>
      </c>
      <c r="J73" s="91">
        <f>'Profit Loss'!J11</f>
        <v>23077.107164628007</v>
      </c>
      <c r="K73" s="91">
        <f>'Profit Loss'!K11</f>
        <v>24909.105584276109</v>
      </c>
      <c r="L73" s="6"/>
      <c r="M73" s="6"/>
      <c r="N73" s="6"/>
      <c r="O73" s="6"/>
      <c r="P73" s="6"/>
      <c r="Q73" s="6"/>
    </row>
    <row r="74" spans="1:17">
      <c r="A74" s="92" t="s">
        <v>114</v>
      </c>
      <c r="B74" s="93">
        <f>'Profit Loss'!B19/'Profit Loss'!B18</f>
        <v>0.173840206185567</v>
      </c>
      <c r="C74" s="93">
        <f>'Profit Loss'!C19/'Profit Loss'!C18</f>
        <v>0.15717473561657128</v>
      </c>
      <c r="D74" s="93">
        <f>'Profit Loss'!D19/'Profit Loss'!D18</f>
        <v>0.15359699965905216</v>
      </c>
      <c r="E74" s="93">
        <f>'Profit Loss'!E19/'Profit Loss'!E18</f>
        <v>0.17919202287557739</v>
      </c>
      <c r="F74" s="94">
        <f>'Profit Loss'!F19/'Profit Loss'!F18</f>
        <v>0.15602464927232201</v>
      </c>
      <c r="G74" s="95">
        <f>'Profit Loss'!G19/'Profit Loss'!G18</f>
        <v>0.16</v>
      </c>
      <c r="H74" s="95">
        <f>'Profit Loss'!H19/'Profit Loss'!H18</f>
        <v>0.16</v>
      </c>
      <c r="I74" s="95">
        <f>'Profit Loss'!I19/'Profit Loss'!I18</f>
        <v>0.16</v>
      </c>
      <c r="J74" s="95">
        <f>'Profit Loss'!J19/'Profit Loss'!J18</f>
        <v>0.16</v>
      </c>
      <c r="K74" s="95">
        <f>'Profit Loss'!K19/'Profit Loss'!K18</f>
        <v>0.16</v>
      </c>
      <c r="L74" s="6"/>
      <c r="M74" s="6"/>
      <c r="N74" s="6"/>
      <c r="O74" s="6"/>
      <c r="P74" s="6"/>
      <c r="Q74" s="6"/>
    </row>
    <row r="75" spans="1:17">
      <c r="A75" s="88" t="s">
        <v>213</v>
      </c>
      <c r="B75" s="96">
        <f>B73*(1-B74)</f>
        <v>7155.3699742268036</v>
      </c>
      <c r="C75" s="96">
        <f>C73*(1-C74)</f>
        <v>9109.2554574560982</v>
      </c>
      <c r="D75" s="96">
        <f>D73*(1-D74)</f>
        <v>11015.088646437096</v>
      </c>
      <c r="E75" s="96">
        <f>E73*(1-E74)</f>
        <v>12153.703717281325</v>
      </c>
      <c r="F75" s="97">
        <f>F73*(1-F74)</f>
        <v>13150.823915038678</v>
      </c>
      <c r="G75" s="98">
        <f t="shared" ref="G75:K75" si="5">G73*(1-G74)</f>
        <v>14444.600940000002</v>
      </c>
      <c r="H75" s="98">
        <f t="shared" si="5"/>
        <v>16177.953052800001</v>
      </c>
      <c r="I75" s="98">
        <f t="shared" si="5"/>
        <v>17791.414977798002</v>
      </c>
      <c r="J75" s="98">
        <f t="shared" si="5"/>
        <v>19384.770018287527</v>
      </c>
      <c r="K75" s="98">
        <f t="shared" si="5"/>
        <v>20923.648690791932</v>
      </c>
      <c r="L75" s="6"/>
      <c r="M75" s="6"/>
      <c r="N75" s="6"/>
      <c r="O75" s="6"/>
      <c r="P75" s="6"/>
      <c r="Q75" s="6"/>
    </row>
    <row r="76" spans="1:17">
      <c r="A76" s="92" t="s">
        <v>214</v>
      </c>
      <c r="B76" s="89">
        <f>'Profit Loss'!B8</f>
        <v>580</v>
      </c>
      <c r="C76" s="89">
        <f>'Profit Loss'!C8</f>
        <v>726</v>
      </c>
      <c r="D76" s="89">
        <f>'Profit Loss'!D8</f>
        <v>750</v>
      </c>
      <c r="E76" s="89">
        <f>'Profit Loss'!E8</f>
        <v>799</v>
      </c>
      <c r="F76" s="99">
        <f>'Profit Loss'!F8</f>
        <v>897</v>
      </c>
      <c r="G76" s="100">
        <f>'Profit Loss'!G8</f>
        <v>968.7600000000001</v>
      </c>
      <c r="H76" s="100">
        <f>'Profit Loss'!H8</f>
        <v>1046.2608000000002</v>
      </c>
      <c r="I76" s="100">
        <f>'Profit Loss'!I8</f>
        <v>1129.9616640000004</v>
      </c>
      <c r="J76" s="100">
        <f>'Profit Loss'!J8</f>
        <v>1220.3585971200005</v>
      </c>
      <c r="K76" s="100">
        <f>'Profit Loss'!K8</f>
        <v>1317.9872848896007</v>
      </c>
      <c r="L76" s="6"/>
      <c r="M76" s="6"/>
      <c r="N76" s="6"/>
      <c r="O76" s="6"/>
      <c r="P76" s="6"/>
      <c r="Q76" s="6"/>
    </row>
    <row r="77" spans="1:17">
      <c r="A77" s="88" t="s">
        <v>215</v>
      </c>
      <c r="B77" s="101">
        <f>'Cash Flow'!B31+'Cash Flow'!B32</f>
        <v>-708</v>
      </c>
      <c r="C77" s="101">
        <f>'Cash Flow'!C31+'Cash Flow'!C32</f>
        <v>-814</v>
      </c>
      <c r="D77" s="101">
        <f>'Cash Flow'!D31+'Cash Flow'!D32</f>
        <v>-1097</v>
      </c>
      <c r="E77" s="101">
        <f>'Cash Flow'!E31+'Cash Flow'!E32</f>
        <v>-1088</v>
      </c>
      <c r="F77" s="90">
        <f>'Cash Flow'!F31+'Cash Flow'!F32</f>
        <v>-1194</v>
      </c>
      <c r="G77" s="91">
        <f>'Cash Flow'!G31+'Cash Flow'!G32</f>
        <v>-1253.7</v>
      </c>
      <c r="H77" s="91">
        <f>'Cash Flow'!H31+'Cash Flow'!H32</f>
        <v>-1316.3850000000002</v>
      </c>
      <c r="I77" s="91">
        <f>'Cash Flow'!I31+'Cash Flow'!I32</f>
        <v>-1382.2042500000002</v>
      </c>
      <c r="J77" s="91">
        <f>'Cash Flow'!J31+'Cash Flow'!J32</f>
        <v>-1451.3144625000004</v>
      </c>
      <c r="K77" s="91">
        <f>'Cash Flow'!K31+'Cash Flow'!K32</f>
        <v>-1523.8801856250004</v>
      </c>
      <c r="L77" s="6"/>
      <c r="M77" s="6"/>
      <c r="N77" s="6"/>
      <c r="O77" s="6"/>
      <c r="P77" s="6"/>
      <c r="Q77" s="6"/>
    </row>
    <row r="78" spans="1:17">
      <c r="A78" s="88" t="s">
        <v>470</v>
      </c>
      <c r="B78" s="101"/>
      <c r="C78" s="101"/>
      <c r="D78" s="101"/>
      <c r="E78" s="101"/>
      <c r="F78" s="90"/>
      <c r="G78" s="98">
        <v>0.92</v>
      </c>
      <c r="H78" s="98">
        <v>0.85</v>
      </c>
      <c r="I78" s="98">
        <v>0.78</v>
      </c>
      <c r="J78" s="98">
        <v>0.72</v>
      </c>
      <c r="K78" s="98">
        <v>0.66</v>
      </c>
      <c r="L78" s="6"/>
      <c r="M78" s="6"/>
      <c r="N78" s="6"/>
      <c r="O78" s="6"/>
      <c r="P78" s="6"/>
      <c r="Q78" s="6"/>
    </row>
    <row r="79" spans="1:17">
      <c r="A79" s="88" t="s">
        <v>471</v>
      </c>
      <c r="B79" s="101"/>
      <c r="C79" s="101"/>
      <c r="D79" s="101"/>
      <c r="E79" s="101"/>
      <c r="F79" s="90"/>
      <c r="G79" s="91">
        <f>G78*G86</f>
        <v>22527.683638920003</v>
      </c>
      <c r="H79" s="91">
        <f>H78*H86</f>
        <v>23177.354374665003</v>
      </c>
      <c r="I79" s="91">
        <f>I78*I86</f>
        <v>23338.526244763863</v>
      </c>
      <c r="J79" s="91">
        <f>J78*J86</f>
        <v>23419.001133011268</v>
      </c>
      <c r="K79" s="91">
        <f>K78*K86</f>
        <v>23117.432211282572</v>
      </c>
      <c r="L79" s="6"/>
      <c r="M79" s="6"/>
      <c r="N79" s="6"/>
      <c r="O79" s="6"/>
      <c r="P79" s="6"/>
      <c r="Q79" s="6"/>
    </row>
    <row r="80" spans="1:17">
      <c r="A80" s="6" t="s">
        <v>472</v>
      </c>
      <c r="B80" s="101"/>
      <c r="C80" s="101"/>
      <c r="D80" s="101"/>
      <c r="E80" s="101"/>
      <c r="F80" s="90"/>
      <c r="G80" s="91">
        <f>K86*1.03/(0.0883-0.03)</f>
        <v>618819.97966684971</v>
      </c>
      <c r="H80" s="91"/>
      <c r="I80" s="91"/>
      <c r="J80" s="91"/>
      <c r="K80" s="91"/>
      <c r="L80" s="6"/>
      <c r="M80" s="6"/>
      <c r="N80" s="6"/>
      <c r="O80" s="6"/>
      <c r="P80" s="6"/>
      <c r="Q80" s="6"/>
    </row>
    <row r="81" spans="1:17">
      <c r="A81" s="6" t="s">
        <v>461</v>
      </c>
      <c r="B81" s="101"/>
      <c r="C81" s="101"/>
      <c r="D81" s="101"/>
      <c r="E81" s="101"/>
      <c r="F81" s="90"/>
      <c r="G81" s="91">
        <f>G80*K78</f>
        <v>408421.18658012082</v>
      </c>
      <c r="H81" s="91"/>
      <c r="I81" s="91"/>
      <c r="J81" s="91"/>
      <c r="K81" s="91"/>
      <c r="L81" s="6"/>
      <c r="M81" s="6"/>
      <c r="N81" s="6"/>
      <c r="O81" s="6"/>
      <c r="P81" s="6"/>
      <c r="Q81" s="6"/>
    </row>
    <row r="82" spans="1:17">
      <c r="A82" s="6" t="s">
        <v>473</v>
      </c>
      <c r="B82" s="101"/>
      <c r="C82" s="101"/>
      <c r="D82" s="101"/>
      <c r="E82" s="101"/>
      <c r="F82" s="90"/>
      <c r="G82" s="91">
        <f>SUM(G79:K79)+G81</f>
        <v>524001.18418276357</v>
      </c>
      <c r="H82" s="91"/>
      <c r="I82" s="91"/>
      <c r="J82" s="91"/>
      <c r="K82" s="91"/>
      <c r="L82" s="6"/>
      <c r="M82" s="6"/>
      <c r="N82" s="6"/>
      <c r="O82" s="6"/>
      <c r="P82" s="6"/>
      <c r="Q82" s="6"/>
    </row>
    <row r="83" spans="1:17" ht="15.75" customHeight="1">
      <c r="A83" s="6" t="s">
        <v>474</v>
      </c>
      <c r="B83" s="101"/>
      <c r="C83" s="101"/>
      <c r="D83" s="101"/>
      <c r="E83" s="101"/>
      <c r="F83" s="90"/>
      <c r="G83" s="91">
        <f>G82-B92+B93+B94</f>
        <v>516091.18418276357</v>
      </c>
      <c r="H83" s="91"/>
      <c r="I83" s="91"/>
      <c r="J83" s="91"/>
      <c r="K83" s="91"/>
      <c r="L83" s="6"/>
      <c r="M83" s="6"/>
      <c r="N83" s="6"/>
      <c r="O83" s="6"/>
      <c r="P83" s="6"/>
      <c r="Q83" s="6"/>
    </row>
    <row r="84" spans="1:17" ht="18.75" customHeight="1">
      <c r="A84" s="6" t="s">
        <v>475</v>
      </c>
      <c r="B84" s="101"/>
      <c r="C84" s="101"/>
      <c r="D84" s="101"/>
      <c r="E84" s="101"/>
      <c r="F84" s="90"/>
      <c r="G84" s="91">
        <f>G83/'Profit Loss'!G24</f>
        <v>568.09456022583663</v>
      </c>
      <c r="H84" s="91"/>
      <c r="I84" s="91"/>
      <c r="J84" s="91"/>
      <c r="K84" s="91"/>
      <c r="L84" s="6"/>
      <c r="M84" s="6"/>
      <c r="N84" s="6"/>
      <c r="O84" s="6"/>
      <c r="P84" s="6"/>
      <c r="Q84" s="6"/>
    </row>
    <row r="85" spans="1:17" ht="15" customHeight="1">
      <c r="A85" s="92" t="s">
        <v>216</v>
      </c>
      <c r="B85" s="102">
        <f>Balance_Sheet!B7+Balance_Sheet!B8+Balance_Sheet!B10-Balance_Sheet!B20-Balance_Sheet!B24-Balance_Sheet!B26-Balance_Sheet!B21</f>
        <v>-2425</v>
      </c>
      <c r="C85" s="102">
        <f>Balance_Sheet!C7+Balance_Sheet!C8+Balance_Sheet!C10-Balance_Sheet!C20-Balance_Sheet!C24-Balance_Sheet!C26-Balance_Sheet!C21</f>
        <v>-3061</v>
      </c>
      <c r="D85" s="102">
        <f>Balance_Sheet!D7+Balance_Sheet!D8+Balance_Sheet!D10-Balance_Sheet!D20-Balance_Sheet!D24-Balance_Sheet!D26-Balance_Sheet!D21</f>
        <v>-4194</v>
      </c>
      <c r="E85" s="102">
        <f>Balance_Sheet!E7+Balance_Sheet!E8+Balance_Sheet!E10-Balance_Sheet!E20-Balance_Sheet!E24-Balance_Sheet!E26-Balance_Sheet!E21</f>
        <v>-5096</v>
      </c>
      <c r="F85" s="102">
        <f>Balance_Sheet!F7+Balance_Sheet!F8+Balance_Sheet!F10-Balance_Sheet!F20-Balance_Sheet!F24-Balance_Sheet!F26-Balance_Sheet!F21</f>
        <v>-8571</v>
      </c>
      <c r="G85" s="103">
        <f>Balance_Sheet!G7+Balance_Sheet!G8+Balance_Sheet!G10-Balance_Sheet!G20-Balance_Sheet!G24-Balance_Sheet!G26-Balance_Sheet!G21</f>
        <v>-10326.951711000002</v>
      </c>
      <c r="H85" s="103">
        <f>Balance_Sheet!H7+Balance_Sheet!H8+Balance_Sheet!H10-Balance_Sheet!H20-Balance_Sheet!H24-Balance_Sheet!H26-Balance_Sheet!H21</f>
        <v>-11359.6468821</v>
      </c>
      <c r="I85" s="103">
        <f>Balance_Sheet!I7+Balance_Sheet!I8+Balance_Sheet!I10-Balance_Sheet!I20-Balance_Sheet!I24-Balance_Sheet!I26-Balance_Sheet!I21</f>
        <v>-12382.015101489003</v>
      </c>
      <c r="J85" s="103">
        <f>Balance_Sheet!J7+Balance_Sheet!J8+Balance_Sheet!J10-Balance_Sheet!J20-Balance_Sheet!J24-Balance_Sheet!J26-Balance_Sheet!J21</f>
        <v>-13372.576309608125</v>
      </c>
      <c r="K85" s="103">
        <f>Balance_Sheet!K7+Balance_Sheet!K8+Balance_Sheet!K10-Balance_Sheet!K20-Balance_Sheet!K24-Balance_Sheet!K26-Balance_Sheet!K21</f>
        <v>-14308.656651280693</v>
      </c>
      <c r="L85" s="6"/>
      <c r="M85" s="6"/>
      <c r="N85" s="6"/>
      <c r="O85" s="6"/>
      <c r="P85" s="6"/>
      <c r="Q85" s="6"/>
    </row>
    <row r="86" spans="1:17" ht="13.5" customHeight="1">
      <c r="A86" s="104" t="s">
        <v>217</v>
      </c>
      <c r="B86" s="96">
        <f t="shared" ref="B86:K86" si="6">B75+B76+B77-B85</f>
        <v>9452.3699742268036</v>
      </c>
      <c r="C86" s="96">
        <f t="shared" si="6"/>
        <v>12082.255457456098</v>
      </c>
      <c r="D86" s="96">
        <f t="shared" si="6"/>
        <v>14862.088646437096</v>
      </c>
      <c r="E86" s="96">
        <f t="shared" si="6"/>
        <v>16960.703717281325</v>
      </c>
      <c r="F86" s="96">
        <f t="shared" si="6"/>
        <v>21424.82391503868</v>
      </c>
      <c r="G86" s="105">
        <f t="shared" si="6"/>
        <v>24486.612651000003</v>
      </c>
      <c r="H86" s="105">
        <f t="shared" si="6"/>
        <v>27267.475734900003</v>
      </c>
      <c r="I86" s="105">
        <f t="shared" si="6"/>
        <v>29921.187493287005</v>
      </c>
      <c r="J86" s="105">
        <f t="shared" si="6"/>
        <v>32526.390462515654</v>
      </c>
      <c r="K86" s="105">
        <f t="shared" si="6"/>
        <v>35026.412441337226</v>
      </c>
      <c r="L86" s="6"/>
      <c r="M86" s="6"/>
      <c r="N86" s="6"/>
      <c r="O86" s="6"/>
      <c r="P86" s="6"/>
      <c r="Q86" s="6"/>
    </row>
    <row r="87" spans="1:17">
      <c r="A87" s="88" t="s">
        <v>218</v>
      </c>
      <c r="B87" s="101">
        <f>C43-B43</f>
        <v>1229</v>
      </c>
      <c r="C87" s="101">
        <f t="shared" ref="C87:K87" si="7">B43-C43</f>
        <v>-1229</v>
      </c>
      <c r="D87" s="101">
        <f t="shared" si="7"/>
        <v>-122</v>
      </c>
      <c r="E87" s="101">
        <f t="shared" si="7"/>
        <v>-1658</v>
      </c>
      <c r="F87" s="101">
        <f t="shared" si="7"/>
        <v>-2545</v>
      </c>
      <c r="G87" s="106">
        <f t="shared" si="7"/>
        <v>0</v>
      </c>
      <c r="H87" s="106">
        <f t="shared" si="7"/>
        <v>0</v>
      </c>
      <c r="I87" s="106">
        <f t="shared" si="7"/>
        <v>0</v>
      </c>
      <c r="J87" s="106">
        <f t="shared" si="7"/>
        <v>0</v>
      </c>
      <c r="K87" s="106">
        <f t="shared" si="7"/>
        <v>0</v>
      </c>
      <c r="L87" s="6"/>
      <c r="M87" s="6"/>
      <c r="N87" s="6"/>
      <c r="O87" s="6"/>
      <c r="P87" s="6"/>
      <c r="Q87" s="6"/>
    </row>
    <row r="88" spans="1:17">
      <c r="A88" s="107" t="s">
        <v>219</v>
      </c>
      <c r="B88" s="108">
        <f t="shared" ref="B88:K88" si="8">B15+B76-B77-B85+B87</f>
        <v>4942.4189922227306</v>
      </c>
      <c r="C88" s="108">
        <f t="shared" si="8"/>
        <v>3372.4600190637575</v>
      </c>
      <c r="D88" s="108">
        <f t="shared" si="8"/>
        <v>5919.4465530422267</v>
      </c>
      <c r="E88" s="108">
        <f t="shared" si="8"/>
        <v>5325.4460514782058</v>
      </c>
      <c r="F88" s="108">
        <f t="shared" si="8"/>
        <v>8117.4570596797676</v>
      </c>
      <c r="G88" s="109">
        <f t="shared" si="8"/>
        <v>12549.860812524788</v>
      </c>
      <c r="H88" s="109">
        <f t="shared" si="8"/>
        <v>13722.751688462769</v>
      </c>
      <c r="I88" s="109">
        <f t="shared" si="8"/>
        <v>14894.645479619345</v>
      </c>
      <c r="J88" s="109">
        <f t="shared" si="8"/>
        <v>16044.719089431102</v>
      </c>
      <c r="K88" s="109">
        <f t="shared" si="8"/>
        <v>17150.99893271226</v>
      </c>
      <c r="L88" s="6"/>
      <c r="M88" s="6"/>
      <c r="N88" s="6"/>
      <c r="O88" s="6"/>
      <c r="P88" s="6"/>
      <c r="Q88" s="6"/>
    </row>
    <row r="89" spans="1:17">
      <c r="A89" s="6"/>
      <c r="B89" s="6"/>
      <c r="C89" s="6"/>
      <c r="D89" s="6"/>
      <c r="E89" s="6"/>
      <c r="F89" s="6"/>
      <c r="G89" s="6"/>
      <c r="H89" s="6"/>
      <c r="I89" s="6"/>
      <c r="J89" s="6"/>
      <c r="K89" s="6"/>
      <c r="L89" s="6"/>
      <c r="M89" s="6"/>
      <c r="N89" s="6"/>
      <c r="O89" s="6"/>
      <c r="P89" s="6"/>
      <c r="Q89" s="6"/>
    </row>
    <row r="90" spans="1:17">
      <c r="A90" s="47" t="s">
        <v>220</v>
      </c>
      <c r="B90" s="47" t="s">
        <v>260</v>
      </c>
      <c r="C90" s="6"/>
      <c r="D90" s="6"/>
      <c r="E90" s="6"/>
      <c r="F90" s="6" t="s">
        <v>476</v>
      </c>
      <c r="G90" s="6" t="s">
        <v>494</v>
      </c>
      <c r="H90" s="6"/>
      <c r="I90" s="6"/>
      <c r="J90" s="6"/>
      <c r="K90" s="6"/>
      <c r="L90" s="6"/>
      <c r="M90" s="6"/>
      <c r="N90" s="6"/>
      <c r="O90" s="6"/>
      <c r="P90" s="6"/>
      <c r="Q90" s="6"/>
    </row>
    <row r="91" spans="1:17">
      <c r="A91" s="38" t="s">
        <v>221</v>
      </c>
      <c r="B91" s="38">
        <f>450*'Profit Loss'!F24</f>
        <v>417150</v>
      </c>
      <c r="C91" s="6"/>
      <c r="D91" s="6"/>
      <c r="E91" s="6"/>
      <c r="F91" s="6" t="s">
        <v>491</v>
      </c>
      <c r="G91" s="42">
        <v>0.24</v>
      </c>
      <c r="H91" s="6"/>
      <c r="I91" s="6"/>
      <c r="J91" s="6"/>
      <c r="K91" s="6"/>
      <c r="L91" s="6"/>
      <c r="M91" s="6"/>
      <c r="N91" s="6"/>
      <c r="O91" s="6"/>
      <c r="P91" s="6"/>
      <c r="Q91" s="6"/>
    </row>
    <row r="92" spans="1:17">
      <c r="A92" s="38" t="s">
        <v>193</v>
      </c>
      <c r="B92" s="77">
        <f>Balance_Sheet!F28+Balance_Sheet!F25</f>
        <v>18226</v>
      </c>
      <c r="C92" s="6"/>
      <c r="D92" s="6"/>
      <c r="E92" s="6"/>
      <c r="F92" s="6" t="s">
        <v>492</v>
      </c>
      <c r="G92" s="42">
        <v>2.5000000000000001E-2</v>
      </c>
      <c r="H92" s="6"/>
      <c r="I92" s="6"/>
      <c r="J92" s="6"/>
      <c r="K92" s="6"/>
      <c r="L92" s="6"/>
      <c r="M92" s="6"/>
      <c r="N92" s="6"/>
      <c r="O92" s="6"/>
      <c r="P92" s="6"/>
      <c r="Q92" s="6"/>
    </row>
    <row r="93" spans="1:17">
      <c r="A93" s="38" t="s">
        <v>174</v>
      </c>
      <c r="B93" s="38">
        <f>Balance_Sheet!F4</f>
        <v>8442</v>
      </c>
      <c r="C93" s="6"/>
      <c r="D93" s="6"/>
      <c r="E93" s="6"/>
      <c r="F93" s="6" t="s">
        <v>493</v>
      </c>
      <c r="G93" s="6">
        <v>5</v>
      </c>
      <c r="H93" s="6"/>
      <c r="I93" s="6"/>
      <c r="J93" s="6"/>
      <c r="K93" s="6"/>
      <c r="L93" s="6"/>
      <c r="M93" s="6"/>
      <c r="N93" s="6"/>
      <c r="O93" s="6"/>
      <c r="P93" s="6"/>
      <c r="Q93" s="6"/>
    </row>
    <row r="94" spans="1:17">
      <c r="A94" s="38" t="s">
        <v>222</v>
      </c>
      <c r="B94" s="77">
        <f>Balance_Sheet!F6</f>
        <v>1874</v>
      </c>
      <c r="C94" s="6"/>
      <c r="D94" s="6"/>
      <c r="E94" s="6"/>
      <c r="F94" s="6"/>
      <c r="G94" s="38"/>
      <c r="H94" s="38"/>
      <c r="I94" s="38"/>
      <c r="J94" s="6"/>
      <c r="K94" s="6"/>
      <c r="L94" s="6"/>
      <c r="M94" s="6"/>
      <c r="N94" s="6"/>
      <c r="O94" s="6"/>
      <c r="P94" s="6"/>
      <c r="Q94" s="6"/>
    </row>
    <row r="95" spans="1:17">
      <c r="A95" s="3" t="s">
        <v>223</v>
      </c>
      <c r="B95" s="77">
        <f>B91+B92-B93-B94</f>
        <v>425060</v>
      </c>
      <c r="C95" s="6"/>
      <c r="D95" s="6"/>
      <c r="E95" s="6"/>
      <c r="F95" s="56" t="s">
        <v>519</v>
      </c>
      <c r="G95" s="110" t="s">
        <v>520</v>
      </c>
      <c r="H95" s="38"/>
      <c r="I95" s="38"/>
      <c r="J95" s="6"/>
      <c r="K95" s="6"/>
      <c r="L95" s="6"/>
      <c r="M95" s="6"/>
      <c r="N95" s="6"/>
      <c r="O95" s="6"/>
      <c r="P95" s="6"/>
      <c r="Q95" s="6"/>
    </row>
    <row r="96" spans="1:17">
      <c r="A96" s="6"/>
      <c r="B96" s="6"/>
      <c r="C96" s="6"/>
      <c r="D96" s="6"/>
      <c r="E96" s="6"/>
      <c r="F96" s="56" t="s">
        <v>518</v>
      </c>
      <c r="G96" s="111">
        <v>8.7999999999999995E-2</v>
      </c>
      <c r="H96" s="6"/>
      <c r="I96" s="6"/>
      <c r="J96" s="6"/>
      <c r="K96" s="6"/>
      <c r="L96" s="6"/>
      <c r="M96" s="6"/>
      <c r="N96" s="6"/>
      <c r="O96" s="6"/>
      <c r="P96" s="6"/>
      <c r="Q96" s="6"/>
    </row>
    <row r="97" spans="1:17">
      <c r="A97" s="47" t="s">
        <v>224</v>
      </c>
      <c r="B97" s="47" t="s">
        <v>225</v>
      </c>
      <c r="C97" s="47" t="s">
        <v>260</v>
      </c>
      <c r="D97" s="6"/>
      <c r="E97" s="6"/>
      <c r="F97" s="56" t="s">
        <v>517</v>
      </c>
      <c r="G97" s="112">
        <v>0.68</v>
      </c>
      <c r="H97" s="6"/>
      <c r="I97" s="6"/>
      <c r="J97" s="6"/>
      <c r="K97" s="6"/>
      <c r="L97" s="6"/>
      <c r="M97" s="6"/>
      <c r="N97" s="6"/>
      <c r="O97" s="6"/>
      <c r="P97" s="6"/>
      <c r="Q97" s="6"/>
    </row>
    <row r="98" spans="1:17" ht="25.5" customHeight="1">
      <c r="A98" s="38" t="s">
        <v>226</v>
      </c>
      <c r="B98" s="38" t="s">
        <v>227</v>
      </c>
      <c r="C98" s="79">
        <f>B91/'Profit Loss'!F20</f>
        <v>32.402516700326238</v>
      </c>
      <c r="D98" s="6"/>
      <c r="E98" s="6"/>
      <c r="F98" s="6"/>
      <c r="G98" s="6"/>
      <c r="H98" s="6"/>
      <c r="I98" s="6"/>
      <c r="J98" s="6"/>
      <c r="K98" s="6"/>
      <c r="L98" s="6"/>
      <c r="M98" s="6"/>
      <c r="N98" s="6"/>
      <c r="O98" s="6"/>
      <c r="P98" s="6"/>
      <c r="Q98" s="6"/>
    </row>
    <row r="99" spans="1:17">
      <c r="A99" s="38" t="s">
        <v>228</v>
      </c>
      <c r="B99" s="38" t="s">
        <v>229</v>
      </c>
      <c r="C99" s="79">
        <f>B91/Balance_Sheet!F41</f>
        <v>64.029163468917886</v>
      </c>
      <c r="D99" s="6"/>
      <c r="E99" s="6"/>
      <c r="F99" s="6"/>
      <c r="G99" s="6"/>
      <c r="H99" s="6"/>
      <c r="I99" s="6"/>
      <c r="J99" s="6"/>
      <c r="K99" s="6"/>
      <c r="L99" s="6"/>
      <c r="M99" s="6"/>
      <c r="N99" s="6"/>
      <c r="O99" s="6"/>
      <c r="P99" s="6"/>
      <c r="Q99" s="6"/>
    </row>
    <row r="100" spans="1:17">
      <c r="A100" s="38" t="s">
        <v>230</v>
      </c>
      <c r="B100" s="38" t="s">
        <v>231</v>
      </c>
      <c r="C100" s="79">
        <f>B95/'Profit Loss'!F25</f>
        <v>25.794040900540082</v>
      </c>
      <c r="D100" s="6"/>
      <c r="E100" s="6"/>
      <c r="F100" s="6"/>
      <c r="G100" s="6"/>
      <c r="H100" s="6"/>
      <c r="I100" s="6"/>
      <c r="J100" s="6"/>
      <c r="K100" s="6"/>
      <c r="L100" s="6"/>
      <c r="M100" s="6"/>
      <c r="N100" s="6"/>
      <c r="O100" s="6"/>
      <c r="P100" s="6"/>
      <c r="Q100" s="6"/>
    </row>
    <row r="101" spans="1:17">
      <c r="A101" s="38" t="s">
        <v>232</v>
      </c>
      <c r="B101" s="38" t="s">
        <v>233</v>
      </c>
      <c r="C101" s="79">
        <f>B95/'Profit Loss'!F11</f>
        <v>27.278911564625851</v>
      </c>
      <c r="D101" s="6"/>
      <c r="E101" s="6"/>
      <c r="F101" s="6"/>
      <c r="G101" s="6"/>
      <c r="H101" s="6"/>
      <c r="I101" s="6"/>
      <c r="J101" s="6"/>
      <c r="K101" s="6"/>
      <c r="L101" s="6"/>
      <c r="M101" s="6"/>
      <c r="N101" s="6"/>
      <c r="O101" s="6"/>
      <c r="P101" s="6"/>
      <c r="Q101" s="6"/>
    </row>
    <row r="102" spans="1:17">
      <c r="A102" s="38" t="s">
        <v>234</v>
      </c>
      <c r="B102" s="38" t="s">
        <v>235</v>
      </c>
      <c r="C102" s="79">
        <f>B91/'Profit Loss'!F4</f>
        <v>14.809883906699328</v>
      </c>
      <c r="D102" s="6"/>
      <c r="E102" s="6"/>
      <c r="F102" s="6"/>
      <c r="G102" s="6"/>
      <c r="H102" s="6"/>
      <c r="I102" s="6"/>
      <c r="J102" s="6"/>
      <c r="K102" s="6"/>
      <c r="L102" s="6"/>
      <c r="M102" s="6"/>
      <c r="N102" s="6"/>
      <c r="O102" s="6"/>
      <c r="P102" s="6"/>
      <c r="Q102" s="6"/>
    </row>
    <row r="103" spans="1:17">
      <c r="A103" s="6"/>
      <c r="B103" s="6"/>
      <c r="C103" s="6"/>
      <c r="D103" s="6"/>
      <c r="E103" s="6"/>
      <c r="F103" s="6"/>
      <c r="G103" s="6"/>
      <c r="H103" s="6"/>
      <c r="I103" s="6"/>
      <c r="J103" s="6"/>
      <c r="K103" s="6"/>
      <c r="L103" s="6"/>
      <c r="M103" s="6"/>
      <c r="N103" s="6"/>
      <c r="O103" s="6"/>
      <c r="P103" s="6"/>
      <c r="Q103" s="6"/>
    </row>
    <row r="104" spans="1:17">
      <c r="L104" s="6"/>
      <c r="M104" s="6"/>
      <c r="N104" s="6"/>
      <c r="O104" s="6"/>
      <c r="P104" s="6"/>
      <c r="Q104" s="6"/>
    </row>
  </sheetData>
  <pageMargins left="0.7" right="0.7" top="0.75" bottom="0.75" header="0.3" footer="0.3"/>
  <pageSetup orientation="portrait" r:id="rId1"/>
  <drawing r:id="rId2"/>
  <tableParts count="14">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954C4-B607-494C-A3E0-B14B77E5F4FD}">
  <dimension ref="A1:H27"/>
  <sheetViews>
    <sheetView zoomScaleNormal="100" workbookViewId="0"/>
  </sheetViews>
  <sheetFormatPr defaultRowHeight="14"/>
  <cols>
    <col min="1" max="1" width="62" customWidth="1"/>
    <col min="2" max="2" width="13.4140625" customWidth="1"/>
    <col min="3" max="3" width="12.75" customWidth="1"/>
    <col min="4" max="4" width="13.25" customWidth="1"/>
    <col min="5" max="5" width="12.25" customWidth="1"/>
    <col min="6" max="6" width="12.1640625" customWidth="1"/>
  </cols>
  <sheetData>
    <row r="1" spans="1:8">
      <c r="A1" s="5" t="s">
        <v>122</v>
      </c>
      <c r="B1" s="6" t="s">
        <v>117</v>
      </c>
      <c r="C1" s="6" t="s">
        <v>118</v>
      </c>
      <c r="D1" s="6" t="s">
        <v>119</v>
      </c>
      <c r="E1" s="6" t="s">
        <v>120</v>
      </c>
      <c r="F1" s="6" t="s">
        <v>121</v>
      </c>
      <c r="G1" s="6"/>
      <c r="H1" s="6"/>
    </row>
    <row r="2" spans="1:8">
      <c r="A2" s="165" t="s">
        <v>111</v>
      </c>
      <c r="B2" s="6"/>
      <c r="C2" s="6"/>
      <c r="D2" s="6"/>
      <c r="E2" s="6"/>
      <c r="F2" s="6"/>
      <c r="G2" s="6"/>
      <c r="H2" s="6"/>
    </row>
    <row r="3" spans="1:8">
      <c r="A3" s="184" t="s">
        <v>587</v>
      </c>
      <c r="B3" s="6">
        <v>132310</v>
      </c>
      <c r="C3" s="6">
        <v>162672</v>
      </c>
      <c r="D3" s="6">
        <v>183399</v>
      </c>
      <c r="E3" s="6">
        <v>196337</v>
      </c>
      <c r="F3" s="6">
        <v>222366</v>
      </c>
      <c r="G3" s="6"/>
      <c r="H3" s="6"/>
    </row>
    <row r="4" spans="1:8">
      <c r="A4" s="184" t="s">
        <v>3</v>
      </c>
      <c r="B4" s="6"/>
      <c r="C4" s="6"/>
      <c r="D4" s="6"/>
      <c r="E4" s="6"/>
      <c r="F4" s="6"/>
      <c r="G4" s="6"/>
      <c r="H4" s="6"/>
    </row>
    <row r="5" spans="1:8">
      <c r="A5" s="184" t="s">
        <v>162</v>
      </c>
      <c r="B5" s="6">
        <v>15843</v>
      </c>
      <c r="C5" s="6">
        <v>18675</v>
      </c>
      <c r="D5" s="6">
        <v>19642</v>
      </c>
      <c r="E5" s="6">
        <v>21409</v>
      </c>
      <c r="F5" s="6">
        <v>23108</v>
      </c>
      <c r="G5" s="6"/>
      <c r="H5" s="6"/>
    </row>
    <row r="6" spans="1:8">
      <c r="A6" s="184" t="s">
        <v>163</v>
      </c>
      <c r="B6" s="6">
        <v>7324</v>
      </c>
      <c r="C6" s="6">
        <v>8067</v>
      </c>
      <c r="D6" s="6">
        <v>7560</v>
      </c>
      <c r="E6" s="6">
        <v>7213</v>
      </c>
      <c r="F6" s="6">
        <v>7416</v>
      </c>
      <c r="G6" s="6"/>
      <c r="H6" s="6"/>
    </row>
    <row r="7" spans="1:8">
      <c r="A7" s="184" t="s">
        <v>164</v>
      </c>
      <c r="B7" s="6">
        <v>3277</v>
      </c>
      <c r="C7" s="6">
        <v>3607</v>
      </c>
      <c r="D7" s="6">
        <v>3646</v>
      </c>
      <c r="E7" s="6">
        <v>3806</v>
      </c>
      <c r="F7" s="6">
        <v>4109</v>
      </c>
      <c r="G7" s="6"/>
      <c r="H7" s="6"/>
    </row>
    <row r="8" spans="1:8">
      <c r="A8" s="184" t="s">
        <v>165</v>
      </c>
      <c r="B8" s="6">
        <v>84</v>
      </c>
      <c r="C8" s="6">
        <v>97</v>
      </c>
      <c r="D8" s="6">
        <v>1224</v>
      </c>
      <c r="E8" s="6">
        <v>1466</v>
      </c>
      <c r="F8" s="6">
        <v>1142</v>
      </c>
      <c r="G8" s="6"/>
      <c r="H8" s="6"/>
    </row>
    <row r="9" spans="1:8">
      <c r="A9" s="184" t="s">
        <v>166</v>
      </c>
      <c r="B9" s="6">
        <v>89910</v>
      </c>
      <c r="C9" s="6">
        <v>103424</v>
      </c>
      <c r="D9" s="6">
        <v>111197</v>
      </c>
      <c r="E9" s="6">
        <v>117306</v>
      </c>
      <c r="F9" s="6">
        <v>130026</v>
      </c>
      <c r="G9" s="6"/>
      <c r="H9" s="6"/>
    </row>
    <row r="10" spans="1:8">
      <c r="A10" s="184" t="s">
        <v>155</v>
      </c>
      <c r="B10" s="6">
        <v>42400</v>
      </c>
      <c r="C10" s="6">
        <v>59248</v>
      </c>
      <c r="D10" s="6">
        <v>72202</v>
      </c>
      <c r="E10" s="6">
        <v>79031</v>
      </c>
      <c r="F10" s="6">
        <v>92340</v>
      </c>
      <c r="G10" s="6"/>
      <c r="H10" s="6"/>
    </row>
    <row r="11" spans="1:8">
      <c r="A11" s="184" t="s">
        <v>10</v>
      </c>
      <c r="B11" s="6"/>
      <c r="C11" s="6"/>
      <c r="D11" s="6"/>
      <c r="E11" s="6"/>
      <c r="F11" s="6"/>
      <c r="G11" s="6"/>
      <c r="H11" s="6"/>
    </row>
    <row r="12" spans="1:8">
      <c r="A12" s="184" t="s">
        <v>167</v>
      </c>
      <c r="B12" s="6">
        <v>1234</v>
      </c>
      <c r="C12" s="6">
        <v>1017</v>
      </c>
      <c r="D12" s="6">
        <v>1207</v>
      </c>
      <c r="E12" s="6">
        <v>1692</v>
      </c>
      <c r="F12" s="6">
        <v>1925</v>
      </c>
      <c r="G12" s="6"/>
      <c r="H12" s="6"/>
    </row>
    <row r="13" spans="1:8">
      <c r="A13" s="184" t="s">
        <v>588</v>
      </c>
      <c r="B13" s="6">
        <v>30</v>
      </c>
      <c r="C13" s="6">
        <v>645</v>
      </c>
      <c r="D13" s="6">
        <v>-145</v>
      </c>
      <c r="E13" s="6">
        <v>-61</v>
      </c>
      <c r="F13" s="6">
        <v>-29</v>
      </c>
      <c r="G13" s="6"/>
      <c r="H13" s="6"/>
    </row>
    <row r="14" spans="1:8">
      <c r="A14" s="184" t="s">
        <v>168</v>
      </c>
      <c r="B14" s="6">
        <v>-3630</v>
      </c>
      <c r="C14" s="6">
        <v>-4105</v>
      </c>
      <c r="D14" s="6">
        <v>-4267</v>
      </c>
      <c r="E14" s="6">
        <v>-4742</v>
      </c>
      <c r="F14" s="6">
        <v>-5043</v>
      </c>
      <c r="G14" s="6"/>
      <c r="H14" s="6"/>
    </row>
    <row r="15" spans="1:8">
      <c r="A15" s="184" t="s">
        <v>10</v>
      </c>
      <c r="B15" s="6">
        <v>1506</v>
      </c>
      <c r="C15" s="6">
        <v>1146</v>
      </c>
      <c r="D15" s="6">
        <v>-680</v>
      </c>
      <c r="E15" s="6">
        <v>104</v>
      </c>
      <c r="F15" s="6">
        <v>115</v>
      </c>
      <c r="G15" s="6"/>
      <c r="H15" s="6"/>
    </row>
    <row r="16" spans="1:8">
      <c r="A16" s="184" t="s">
        <v>589</v>
      </c>
      <c r="B16" s="6">
        <v>-860</v>
      </c>
      <c r="C16" s="6">
        <v>-1297</v>
      </c>
      <c r="D16" s="6">
        <v>-3885</v>
      </c>
      <c r="E16" s="6">
        <v>-3007</v>
      </c>
      <c r="F16" s="6">
        <v>-3032</v>
      </c>
      <c r="G16" s="6"/>
      <c r="H16" s="6"/>
    </row>
    <row r="17" spans="1:8">
      <c r="A17" s="184" t="s">
        <v>590</v>
      </c>
      <c r="B17" s="6">
        <v>41540</v>
      </c>
      <c r="C17" s="6">
        <v>57951</v>
      </c>
      <c r="D17" s="6">
        <v>68317</v>
      </c>
      <c r="E17" s="6">
        <v>76024</v>
      </c>
      <c r="F17" s="6">
        <v>89308</v>
      </c>
      <c r="G17" s="6"/>
      <c r="H17" s="6"/>
    </row>
    <row r="18" spans="1:8">
      <c r="A18" s="184" t="s">
        <v>171</v>
      </c>
      <c r="B18" s="6">
        <v>8269</v>
      </c>
      <c r="C18" s="6">
        <v>9730</v>
      </c>
      <c r="D18" s="6">
        <v>10165</v>
      </c>
      <c r="E18" s="6">
        <v>12721</v>
      </c>
      <c r="F18" s="6">
        <v>13176</v>
      </c>
      <c r="G18" s="6"/>
      <c r="H18" s="6"/>
    </row>
    <row r="19" spans="1:8">
      <c r="A19" s="183" t="s">
        <v>591</v>
      </c>
      <c r="B19" s="66">
        <v>33271</v>
      </c>
      <c r="C19" s="66">
        <v>48221</v>
      </c>
      <c r="D19" s="66">
        <v>58152</v>
      </c>
      <c r="E19" s="66">
        <v>63303</v>
      </c>
      <c r="F19" s="66">
        <v>76132</v>
      </c>
      <c r="G19" s="6"/>
      <c r="H19" s="6"/>
    </row>
    <row r="20" spans="1:8">
      <c r="A20" s="184" t="s">
        <v>592</v>
      </c>
      <c r="B20" s="6">
        <v>4.2</v>
      </c>
      <c r="C20" s="6">
        <v>6.1</v>
      </c>
      <c r="D20" s="6">
        <v>7.3</v>
      </c>
      <c r="E20" s="6">
        <v>8.4</v>
      </c>
      <c r="F20" s="6">
        <v>9.9</v>
      </c>
      <c r="G20" s="6"/>
      <c r="H20" s="6"/>
    </row>
    <row r="21" spans="1:8">
      <c r="A21" s="185" t="s">
        <v>593</v>
      </c>
      <c r="B21" s="6">
        <v>4.0999999999999996</v>
      </c>
      <c r="C21" s="6">
        <v>6</v>
      </c>
      <c r="D21" s="6">
        <v>7.2</v>
      </c>
      <c r="E21" s="6">
        <v>8.3000000000000007</v>
      </c>
      <c r="F21" s="6">
        <v>9.8000000000000007</v>
      </c>
      <c r="G21" s="6"/>
      <c r="H21" s="6"/>
    </row>
    <row r="22" spans="1:8">
      <c r="A22" s="186" t="s">
        <v>143</v>
      </c>
      <c r="B22" s="6">
        <v>45677</v>
      </c>
      <c r="C22" s="6">
        <v>62855</v>
      </c>
      <c r="D22" s="6">
        <v>75848</v>
      </c>
      <c r="E22" s="6">
        <v>82837</v>
      </c>
      <c r="F22" s="6">
        <v>96449</v>
      </c>
      <c r="G22" s="6"/>
      <c r="H22" s="6"/>
    </row>
    <row r="23" spans="1:8">
      <c r="A23" s="184" t="s">
        <v>594</v>
      </c>
      <c r="B23" s="6">
        <v>0.32045952686871743</v>
      </c>
      <c r="C23" s="6">
        <v>0.36421756663715943</v>
      </c>
      <c r="D23" s="6">
        <v>0.39368807899715919</v>
      </c>
      <c r="E23" s="6">
        <v>0.40252728726628195</v>
      </c>
      <c r="F23" s="6">
        <v>0.41526132592212839</v>
      </c>
      <c r="G23" s="6"/>
      <c r="H23" s="6"/>
    </row>
    <row r="24" spans="1:8">
      <c r="A24" s="184" t="s">
        <v>145</v>
      </c>
      <c r="B24" s="6">
        <v>0.25146247449172399</v>
      </c>
      <c r="C24" s="6">
        <v>0.29643085472607456</v>
      </c>
      <c r="D24" s="6">
        <v>0.31707915528437997</v>
      </c>
      <c r="E24" s="6">
        <v>0.3224201245817141</v>
      </c>
      <c r="F24" s="6">
        <v>0.34237248500220357</v>
      </c>
    </row>
    <row r="25" spans="1:8">
      <c r="A25" s="166" t="s">
        <v>300</v>
      </c>
      <c r="B25" s="6">
        <v>372516.3</v>
      </c>
      <c r="C25" s="6">
        <v>469110.1</v>
      </c>
      <c r="D25" s="6">
        <v>527748.5</v>
      </c>
      <c r="E25" s="6">
        <v>572618.70000000007</v>
      </c>
      <c r="F25" s="6">
        <v>653078.70000000007</v>
      </c>
    </row>
    <row r="27" spans="1:8">
      <c r="A27" s="167" t="s">
        <v>896</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228B2-27F5-4D73-9E38-3F07DE1224D0}">
  <dimension ref="A1:H47"/>
  <sheetViews>
    <sheetView zoomScale="90" zoomScaleNormal="90" workbookViewId="0"/>
  </sheetViews>
  <sheetFormatPr defaultRowHeight="14"/>
  <cols>
    <col min="1" max="1" width="61.1640625" customWidth="1"/>
    <col min="2" max="2" width="15.1640625" customWidth="1"/>
    <col min="3" max="3" width="14.4140625" customWidth="1"/>
    <col min="4" max="4" width="13.83203125" customWidth="1"/>
    <col min="5" max="5" width="13.25" customWidth="1"/>
    <col min="6" max="6" width="12.4140625" customWidth="1"/>
  </cols>
  <sheetData>
    <row r="1" spans="1:8">
      <c r="A1" s="6" t="s">
        <v>24</v>
      </c>
      <c r="B1" s="6" t="s">
        <v>117</v>
      </c>
      <c r="C1" s="6" t="s">
        <v>118</v>
      </c>
      <c r="D1" s="6" t="s">
        <v>119</v>
      </c>
      <c r="E1" s="6" t="s">
        <v>120</v>
      </c>
      <c r="F1" s="6" t="s">
        <v>121</v>
      </c>
      <c r="G1" s="6"/>
      <c r="H1" s="6"/>
    </row>
    <row r="2" spans="1:8">
      <c r="A2" s="5" t="s">
        <v>142</v>
      </c>
      <c r="B2" s="6"/>
      <c r="C2" s="6"/>
      <c r="D2" s="6"/>
      <c r="E2" s="6"/>
      <c r="F2" s="6"/>
      <c r="G2" s="6"/>
      <c r="H2" s="6"/>
    </row>
    <row r="3" spans="1:8">
      <c r="A3" s="5" t="s">
        <v>25</v>
      </c>
      <c r="B3" s="6"/>
      <c r="C3" s="6"/>
      <c r="D3" s="6" t="s">
        <v>23</v>
      </c>
      <c r="E3" s="6" t="s">
        <v>23</v>
      </c>
      <c r="F3" s="6" t="s">
        <v>23</v>
      </c>
      <c r="G3" s="6"/>
      <c r="H3" s="6"/>
    </row>
    <row r="4" spans="1:8">
      <c r="A4" s="6" t="s">
        <v>174</v>
      </c>
      <c r="B4" s="6">
        <v>69864</v>
      </c>
      <c r="C4" s="6">
        <v>93017</v>
      </c>
      <c r="D4" s="6">
        <v>120397</v>
      </c>
      <c r="E4" s="6">
        <v>146313</v>
      </c>
      <c r="F4" s="6">
        <v>178016</v>
      </c>
      <c r="G4" s="6"/>
      <c r="H4" s="6"/>
    </row>
    <row r="5" spans="1:8">
      <c r="A5" s="6" t="s">
        <v>595</v>
      </c>
      <c r="B5" s="6">
        <v>1487</v>
      </c>
      <c r="C5" s="6">
        <v>1480</v>
      </c>
      <c r="D5" s="6">
        <v>1483</v>
      </c>
      <c r="E5" s="6">
        <v>2375</v>
      </c>
      <c r="F5" s="6">
        <v>3256</v>
      </c>
      <c r="G5" s="6"/>
      <c r="H5" s="6"/>
    </row>
    <row r="6" spans="1:8">
      <c r="A6" s="6" t="s">
        <v>28</v>
      </c>
      <c r="B6" s="6">
        <v>30499</v>
      </c>
      <c r="C6" s="6">
        <v>15353</v>
      </c>
      <c r="D6" s="6">
        <v>9476</v>
      </c>
      <c r="E6" s="6">
        <v>12801</v>
      </c>
      <c r="F6" s="6">
        <v>12833</v>
      </c>
      <c r="G6" s="6"/>
      <c r="H6" s="6"/>
    </row>
    <row r="7" spans="1:8">
      <c r="A7" s="6" t="s">
        <v>175</v>
      </c>
      <c r="B7" s="6">
        <v>8517</v>
      </c>
      <c r="C7" s="6">
        <v>9183</v>
      </c>
      <c r="D7" s="6">
        <v>9406</v>
      </c>
      <c r="E7" s="6">
        <v>7601</v>
      </c>
      <c r="F7" s="6">
        <v>7332</v>
      </c>
      <c r="G7" s="6"/>
      <c r="H7" s="6"/>
    </row>
    <row r="8" spans="1:8">
      <c r="A8" s="6" t="s">
        <v>596</v>
      </c>
      <c r="B8" s="6">
        <v>45674</v>
      </c>
      <c r="C8" s="6">
        <v>48722</v>
      </c>
      <c r="D8" s="6">
        <v>45699</v>
      </c>
      <c r="E8" s="6">
        <v>51703</v>
      </c>
      <c r="F8" s="6">
        <v>54027</v>
      </c>
      <c r="G8" s="6"/>
      <c r="H8" s="6"/>
    </row>
    <row r="9" spans="1:8">
      <c r="A9" s="6" t="s">
        <v>597</v>
      </c>
      <c r="B9" s="6">
        <v>11097</v>
      </c>
      <c r="C9" s="6">
        <v>12568</v>
      </c>
      <c r="D9" s="6">
        <v>12531</v>
      </c>
      <c r="E9" s="6">
        <v>13598</v>
      </c>
      <c r="F9" s="6">
        <v>15380</v>
      </c>
      <c r="G9" s="6"/>
      <c r="H9" s="6"/>
    </row>
    <row r="10" spans="1:8">
      <c r="A10" s="6" t="s">
        <v>177</v>
      </c>
      <c r="B10" s="6">
        <v>167138</v>
      </c>
      <c r="C10" s="6">
        <v>154977</v>
      </c>
      <c r="D10" s="6">
        <v>149044</v>
      </c>
      <c r="E10" s="6">
        <v>175147</v>
      </c>
      <c r="F10" s="6">
        <v>175384</v>
      </c>
      <c r="G10" s="6"/>
      <c r="H10" s="6"/>
    </row>
    <row r="11" spans="1:8">
      <c r="A11" s="6" t="s">
        <v>598</v>
      </c>
      <c r="B11" s="6">
        <v>18372</v>
      </c>
      <c r="C11" s="6">
        <v>18887</v>
      </c>
      <c r="D11" s="6">
        <v>20341</v>
      </c>
      <c r="E11" s="6">
        <v>21466</v>
      </c>
      <c r="F11" s="6">
        <v>22932</v>
      </c>
      <c r="G11" s="6"/>
      <c r="H11" s="6"/>
    </row>
    <row r="12" spans="1:8">
      <c r="A12" s="6" t="s">
        <v>36</v>
      </c>
      <c r="B12" s="6">
        <v>89194</v>
      </c>
      <c r="C12" s="6">
        <v>101138</v>
      </c>
      <c r="D12" s="6">
        <v>94806</v>
      </c>
      <c r="E12" s="6">
        <v>99589</v>
      </c>
      <c r="F12" s="6">
        <v>109730</v>
      </c>
      <c r="G12" s="6"/>
      <c r="H12" s="6"/>
    </row>
    <row r="13" spans="1:8">
      <c r="A13" s="6" t="s">
        <v>179</v>
      </c>
      <c r="B13" s="6">
        <v>40152</v>
      </c>
      <c r="C13" s="6">
        <v>41202</v>
      </c>
      <c r="D13" s="6">
        <v>42594</v>
      </c>
      <c r="E13" s="6">
        <v>45836</v>
      </c>
      <c r="F13" s="6">
        <v>50247</v>
      </c>
      <c r="G13" s="6"/>
      <c r="H13" s="6"/>
    </row>
    <row r="14" spans="1:8">
      <c r="A14" s="6" t="s">
        <v>599</v>
      </c>
      <c r="B14" s="6">
        <v>5573</v>
      </c>
      <c r="C14" s="6">
        <v>8254</v>
      </c>
      <c r="D14" s="6">
        <v>8550</v>
      </c>
      <c r="E14" s="6">
        <v>9517</v>
      </c>
      <c r="F14" s="6">
        <v>10646</v>
      </c>
      <c r="G14" s="6"/>
      <c r="H14" s="6"/>
    </row>
    <row r="15" spans="1:8">
      <c r="A15" s="6" t="s">
        <v>180</v>
      </c>
      <c r="B15" s="6">
        <v>47560</v>
      </c>
      <c r="C15" s="6">
        <v>49710</v>
      </c>
      <c r="D15" s="6">
        <v>49789</v>
      </c>
      <c r="E15" s="6">
        <v>52930</v>
      </c>
      <c r="F15" s="6">
        <v>58596</v>
      </c>
      <c r="G15" s="6"/>
      <c r="H15" s="6"/>
    </row>
    <row r="16" spans="1:8">
      <c r="A16" s="6" t="s">
        <v>39</v>
      </c>
      <c r="B16" s="6">
        <v>367989</v>
      </c>
      <c r="C16" s="6">
        <v>374168</v>
      </c>
      <c r="D16" s="6">
        <v>365124</v>
      </c>
      <c r="E16" s="6">
        <v>404485</v>
      </c>
      <c r="F16" s="6">
        <v>427535</v>
      </c>
      <c r="G16" s="6"/>
      <c r="H16" s="6"/>
    </row>
    <row r="17" spans="1:8">
      <c r="A17" s="66" t="s">
        <v>186</v>
      </c>
      <c r="B17" s="66"/>
      <c r="C17" s="66"/>
      <c r="D17" s="66"/>
      <c r="E17" s="66"/>
      <c r="F17" s="66"/>
      <c r="G17" s="6"/>
      <c r="H17" s="6"/>
    </row>
    <row r="18" spans="1:8">
      <c r="A18" s="6" t="s">
        <v>181</v>
      </c>
      <c r="B18" s="6">
        <v>24457</v>
      </c>
      <c r="C18" s="6">
        <v>28237</v>
      </c>
      <c r="D18" s="6">
        <v>30889</v>
      </c>
      <c r="E18" s="6">
        <v>32461</v>
      </c>
      <c r="F18" s="6">
        <v>34368</v>
      </c>
      <c r="G18" s="6"/>
      <c r="H18" s="6"/>
    </row>
    <row r="19" spans="1:8">
      <c r="A19" s="6" t="s">
        <v>187</v>
      </c>
      <c r="B19" s="6">
        <v>9780</v>
      </c>
      <c r="C19" s="6">
        <v>10851</v>
      </c>
      <c r="D19" s="6">
        <v>11663</v>
      </c>
      <c r="E19" s="6">
        <v>14604</v>
      </c>
      <c r="F19" s="6">
        <v>17343</v>
      </c>
      <c r="G19" s="6"/>
      <c r="H19" s="6"/>
    </row>
    <row r="20" spans="1:8">
      <c r="A20" s="6" t="s">
        <v>182</v>
      </c>
      <c r="B20" s="6">
        <v>17857</v>
      </c>
      <c r="C20" s="6">
        <v>19453</v>
      </c>
      <c r="D20" s="6">
        <v>21293</v>
      </c>
      <c r="E20" s="6">
        <v>23238</v>
      </c>
      <c r="F20" s="6">
        <v>26944</v>
      </c>
      <c r="G20" s="6"/>
      <c r="H20" s="6"/>
    </row>
    <row r="21" spans="1:8">
      <c r="A21" s="6" t="s">
        <v>600</v>
      </c>
      <c r="B21" s="6">
        <v>5526</v>
      </c>
      <c r="C21" s="6">
        <v>7337</v>
      </c>
      <c r="D21" s="6">
        <v>6502</v>
      </c>
      <c r="E21" s="6">
        <v>8406</v>
      </c>
      <c r="F21" s="6">
        <v>7974</v>
      </c>
      <c r="G21" s="6"/>
      <c r="H21" s="6"/>
    </row>
    <row r="22" spans="1:8">
      <c r="A22" s="6" t="s">
        <v>188</v>
      </c>
      <c r="B22" s="6">
        <v>16809</v>
      </c>
      <c r="C22" s="6">
        <v>18441</v>
      </c>
      <c r="D22" s="6">
        <v>18859</v>
      </c>
      <c r="E22" s="6">
        <v>20094</v>
      </c>
      <c r="F22" s="6">
        <v>22983</v>
      </c>
      <c r="G22" s="6"/>
      <c r="H22" s="6"/>
    </row>
    <row r="23" spans="1:8">
      <c r="A23" s="6" t="s">
        <v>183</v>
      </c>
      <c r="B23" s="6">
        <v>74429</v>
      </c>
      <c r="C23" s="6">
        <v>84319</v>
      </c>
      <c r="D23" s="6">
        <v>89206</v>
      </c>
      <c r="E23" s="6">
        <v>98803</v>
      </c>
      <c r="F23" s="6">
        <v>109612</v>
      </c>
      <c r="G23" s="6"/>
      <c r="H23" s="6"/>
    </row>
    <row r="24" spans="1:8">
      <c r="A24" s="6" t="s">
        <v>184</v>
      </c>
      <c r="B24" s="6">
        <v>84015</v>
      </c>
      <c r="C24" s="6">
        <v>92201</v>
      </c>
      <c r="D24" s="6">
        <v>99228</v>
      </c>
      <c r="E24" s="6">
        <v>102307</v>
      </c>
      <c r="F24" s="6">
        <v>117801</v>
      </c>
      <c r="G24" s="6"/>
      <c r="H24" s="6"/>
    </row>
    <row r="25" spans="1:8">
      <c r="A25" s="6" t="s">
        <v>189</v>
      </c>
      <c r="B25" s="6">
        <v>5323</v>
      </c>
      <c r="C25" s="6">
        <v>7362</v>
      </c>
      <c r="D25" s="6">
        <v>7587</v>
      </c>
      <c r="E25" s="6">
        <v>7762</v>
      </c>
      <c r="F25" s="6">
        <v>7865</v>
      </c>
      <c r="G25" s="6"/>
      <c r="H25" s="6"/>
    </row>
    <row r="26" spans="1:8">
      <c r="A26" s="6" t="s">
        <v>601</v>
      </c>
      <c r="B26" s="6">
        <v>49483</v>
      </c>
      <c r="C26" s="6">
        <v>51273</v>
      </c>
      <c r="D26" s="6">
        <v>51889</v>
      </c>
      <c r="E26" s="6">
        <v>54110</v>
      </c>
      <c r="F26" s="6">
        <v>55921</v>
      </c>
      <c r="G26" s="6"/>
      <c r="H26" s="6"/>
    </row>
    <row r="27" spans="1:8">
      <c r="A27" s="6" t="s">
        <v>50</v>
      </c>
      <c r="B27" s="6">
        <v>213250</v>
      </c>
      <c r="C27" s="6">
        <v>235155</v>
      </c>
      <c r="D27" s="6">
        <v>247910</v>
      </c>
      <c r="E27" s="6">
        <v>262982</v>
      </c>
      <c r="F27" s="6">
        <v>291199</v>
      </c>
      <c r="G27" s="6"/>
      <c r="H27" s="6"/>
    </row>
    <row r="28" spans="1:8">
      <c r="A28" s="6" t="s">
        <v>602</v>
      </c>
      <c r="B28" s="6"/>
      <c r="C28" s="6"/>
      <c r="D28" s="6"/>
      <c r="E28" s="6"/>
      <c r="F28" s="6"/>
      <c r="G28" s="6"/>
      <c r="H28" s="6"/>
    </row>
    <row r="29" spans="1:8">
      <c r="A29" s="6" t="s">
        <v>603</v>
      </c>
      <c r="B29" s="6">
        <v>91991</v>
      </c>
      <c r="C29" s="6">
        <v>95023</v>
      </c>
      <c r="D29" s="6">
        <v>98956</v>
      </c>
      <c r="E29" s="6">
        <v>103464</v>
      </c>
      <c r="F29" s="6">
        <v>110989</v>
      </c>
      <c r="G29" s="6"/>
      <c r="H29" s="6"/>
    </row>
    <row r="30" spans="1:8">
      <c r="A30" s="66" t="s">
        <v>604</v>
      </c>
      <c r="B30" s="66">
        <v>-45165</v>
      </c>
      <c r="C30" s="66">
        <v>-54468</v>
      </c>
      <c r="D30" s="66">
        <v>-67433</v>
      </c>
      <c r="E30" s="66">
        <v>-81474</v>
      </c>
      <c r="F30" s="66">
        <v>-98516</v>
      </c>
      <c r="G30" s="6"/>
      <c r="H30" s="6"/>
    </row>
    <row r="31" spans="1:8">
      <c r="A31" s="6" t="s">
        <v>605</v>
      </c>
      <c r="B31" s="6">
        <v>96250</v>
      </c>
      <c r="C31" s="6">
        <v>121517</v>
      </c>
      <c r="D31" s="6">
        <v>135685</v>
      </c>
      <c r="E31" s="6">
        <v>158785</v>
      </c>
      <c r="F31" s="6">
        <v>182547</v>
      </c>
      <c r="G31" s="6"/>
      <c r="H31" s="6"/>
    </row>
    <row r="32" spans="1:8">
      <c r="A32" s="6" t="s">
        <v>606</v>
      </c>
      <c r="B32" s="6">
        <v>-6085</v>
      </c>
      <c r="C32" s="6">
        <v>-7632</v>
      </c>
      <c r="D32" s="6">
        <v>-8289</v>
      </c>
      <c r="E32" s="6">
        <v>-7878</v>
      </c>
      <c r="F32" s="6">
        <v>-9463</v>
      </c>
      <c r="G32" s="6"/>
      <c r="H32" s="6"/>
    </row>
    <row r="33" spans="1:8">
      <c r="A33" s="6" t="s">
        <v>607</v>
      </c>
      <c r="B33" s="6">
        <v>1748</v>
      </c>
      <c r="C33" s="6">
        <v>1573</v>
      </c>
      <c r="D33" s="6">
        <v>1295</v>
      </c>
      <c r="E33" s="6">
        <v>2606</v>
      </c>
      <c r="F33" s="6">
        <v>779</v>
      </c>
      <c r="G33" s="6"/>
      <c r="H33" s="6"/>
    </row>
    <row r="34" spans="1:8">
      <c r="A34" s="6" t="s">
        <v>60</v>
      </c>
      <c r="B34" s="6">
        <v>138739</v>
      </c>
      <c r="C34" s="6">
        <v>156013</v>
      </c>
      <c r="D34" s="6">
        <v>160214</v>
      </c>
      <c r="E34" s="6">
        <v>175503</v>
      </c>
      <c r="F34" s="6">
        <v>186336</v>
      </c>
      <c r="G34" s="6"/>
      <c r="H34" s="6"/>
    </row>
    <row r="35" spans="1:8">
      <c r="A35" s="6" t="s">
        <v>300</v>
      </c>
      <c r="B35" s="6">
        <v>1681523</v>
      </c>
      <c r="C35" s="6">
        <v>1795314</v>
      </c>
      <c r="D35" s="6">
        <v>1834694</v>
      </c>
      <c r="E35" s="6">
        <v>2019134</v>
      </c>
      <c r="F35" s="6">
        <v>2190596</v>
      </c>
      <c r="G35" s="6"/>
      <c r="H35" s="6"/>
    </row>
    <row r="36" spans="1:8">
      <c r="G36" s="6"/>
      <c r="H36" s="6"/>
    </row>
    <row r="37" spans="1:8">
      <c r="A37" s="167" t="s">
        <v>896</v>
      </c>
      <c r="G37" s="6"/>
      <c r="H37" s="6"/>
    </row>
    <row r="38" spans="1:8">
      <c r="G38" s="6"/>
      <c r="H38" s="6"/>
    </row>
    <row r="39" spans="1:8">
      <c r="G39" s="6"/>
      <c r="H39" s="6"/>
    </row>
    <row r="40" spans="1:8">
      <c r="G40" s="6"/>
      <c r="H40" s="6"/>
    </row>
    <row r="41" spans="1:8">
      <c r="G41" s="6"/>
      <c r="H41" s="6"/>
    </row>
    <row r="42" spans="1:8">
      <c r="G42" s="6"/>
      <c r="H42" s="6"/>
    </row>
    <row r="43" spans="1:8">
      <c r="G43" s="6"/>
      <c r="H43" s="6"/>
    </row>
    <row r="44" spans="1:8">
      <c r="G44" s="6"/>
      <c r="H44" s="6"/>
    </row>
    <row r="45" spans="1:8">
      <c r="G45" s="6"/>
      <c r="H45" s="6"/>
    </row>
    <row r="46" spans="1:8">
      <c r="G46" s="6"/>
      <c r="H46" s="6"/>
    </row>
    <row r="47" spans="1:8">
      <c r="G47" s="6"/>
      <c r="H47" s="6"/>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8F6E9-CA89-4069-8135-07B5710DA735}">
  <dimension ref="A1:I54"/>
  <sheetViews>
    <sheetView zoomScale="80" zoomScaleNormal="80" workbookViewId="0"/>
  </sheetViews>
  <sheetFormatPr defaultRowHeight="14"/>
  <cols>
    <col min="1" max="1" width="100.75" customWidth="1"/>
    <col min="2" max="2" width="15.25" customWidth="1"/>
    <col min="3" max="3" width="14.1640625" customWidth="1"/>
    <col min="4" max="4" width="15" customWidth="1"/>
    <col min="5" max="5" width="12.25" customWidth="1"/>
    <col min="6" max="6" width="14.75" customWidth="1"/>
  </cols>
  <sheetData>
    <row r="1" spans="1:9">
      <c r="A1" s="5" t="s">
        <v>123</v>
      </c>
      <c r="B1" s="5" t="s">
        <v>117</v>
      </c>
      <c r="C1" s="5" t="s">
        <v>118</v>
      </c>
      <c r="D1" s="5" t="s">
        <v>119</v>
      </c>
      <c r="E1" s="5" t="s">
        <v>120</v>
      </c>
      <c r="F1" s="5" t="s">
        <v>121</v>
      </c>
      <c r="G1" s="6"/>
      <c r="H1" s="6"/>
      <c r="I1" s="6"/>
    </row>
    <row r="2" spans="1:9">
      <c r="A2" s="5" t="s">
        <v>111</v>
      </c>
      <c r="B2" s="6"/>
      <c r="C2" s="6"/>
      <c r="D2" s="6"/>
      <c r="E2" s="6"/>
      <c r="F2" s="6"/>
      <c r="G2" s="6"/>
      <c r="H2" s="6"/>
      <c r="I2" s="6"/>
    </row>
    <row r="3" spans="1:9">
      <c r="A3" s="5" t="s">
        <v>608</v>
      </c>
      <c r="B3" s="6"/>
      <c r="C3" s="6"/>
      <c r="D3" s="6"/>
      <c r="E3" s="6"/>
      <c r="F3" s="6"/>
      <c r="G3" s="6"/>
      <c r="H3" s="6"/>
      <c r="I3" s="6"/>
    </row>
    <row r="4" spans="1:9">
      <c r="A4" s="6" t="s">
        <v>18</v>
      </c>
      <c r="B4" s="6">
        <v>33271</v>
      </c>
      <c r="C4" s="6">
        <v>48221</v>
      </c>
      <c r="D4" s="6">
        <v>58152</v>
      </c>
      <c r="E4" s="6">
        <v>63303</v>
      </c>
      <c r="F4" s="6">
        <v>76132</v>
      </c>
      <c r="G4" s="6"/>
      <c r="H4" s="6"/>
      <c r="I4" s="6"/>
    </row>
    <row r="5" spans="1:9">
      <c r="A5" s="5" t="s">
        <v>164</v>
      </c>
      <c r="B5" s="6">
        <v>7894</v>
      </c>
      <c r="C5" s="6">
        <v>8720</v>
      </c>
      <c r="D5" s="6">
        <v>9122</v>
      </c>
      <c r="E5" s="6">
        <v>9648</v>
      </c>
      <c r="F5" s="6">
        <v>10436</v>
      </c>
      <c r="G5" s="6"/>
      <c r="H5" s="6"/>
      <c r="I5" s="6"/>
    </row>
    <row r="6" spans="1:9">
      <c r="A6" s="6" t="s">
        <v>609</v>
      </c>
      <c r="B6" s="6">
        <v>3104</v>
      </c>
      <c r="C6" s="6">
        <v>3486</v>
      </c>
      <c r="D6" s="6">
        <v>3722</v>
      </c>
      <c r="E6" s="6">
        <v>3991</v>
      </c>
      <c r="F6" s="6">
        <v>4215</v>
      </c>
      <c r="G6" s="6"/>
      <c r="H6" s="6"/>
      <c r="I6" s="6"/>
    </row>
    <row r="7" spans="1:9">
      <c r="A7" s="6" t="s">
        <v>610</v>
      </c>
      <c r="B7" s="6">
        <v>1207</v>
      </c>
      <c r="C7" s="6">
        <v>1496</v>
      </c>
      <c r="D7" s="6">
        <v>1389</v>
      </c>
      <c r="E7" s="6">
        <v>1742</v>
      </c>
      <c r="F7" s="6">
        <v>1963</v>
      </c>
      <c r="G7" s="6"/>
      <c r="H7" s="6"/>
      <c r="I7" s="6"/>
    </row>
    <row r="8" spans="1:9">
      <c r="A8" s="6" t="s">
        <v>588</v>
      </c>
      <c r="B8" s="6">
        <v>-30</v>
      </c>
      <c r="C8" s="6">
        <v>-645</v>
      </c>
      <c r="D8" s="6">
        <v>145</v>
      </c>
      <c r="E8" s="6">
        <v>61</v>
      </c>
      <c r="F8" s="6">
        <v>29</v>
      </c>
      <c r="G8" s="6"/>
      <c r="H8" s="6"/>
      <c r="I8" s="6"/>
    </row>
    <row r="9" spans="1:9">
      <c r="A9" s="6" t="s">
        <v>611</v>
      </c>
      <c r="B9" s="6">
        <v>5902</v>
      </c>
      <c r="C9" s="45">
        <v>6611</v>
      </c>
      <c r="D9" s="45">
        <v>7084</v>
      </c>
      <c r="E9" s="45">
        <v>7393</v>
      </c>
      <c r="F9" s="45">
        <v>8104</v>
      </c>
      <c r="G9" s="6"/>
      <c r="H9" s="6"/>
      <c r="I9" s="6"/>
    </row>
    <row r="10" spans="1:9">
      <c r="A10" s="6" t="s">
        <v>612</v>
      </c>
      <c r="B10" s="6">
        <v>-6983</v>
      </c>
      <c r="C10" s="6">
        <v>-4728</v>
      </c>
      <c r="D10" s="6">
        <v>-3915</v>
      </c>
      <c r="E10" s="6">
        <v>-2506</v>
      </c>
      <c r="F10" s="6">
        <v>-3221</v>
      </c>
      <c r="G10" s="6"/>
      <c r="H10" s="6"/>
      <c r="I10" s="6"/>
    </row>
    <row r="11" spans="1:9">
      <c r="A11" s="6" t="s">
        <v>613</v>
      </c>
      <c r="B11" s="6">
        <v>44365</v>
      </c>
      <c r="C11" s="6">
        <v>63161</v>
      </c>
      <c r="D11" s="6">
        <v>75699</v>
      </c>
      <c r="E11" s="6">
        <v>83632</v>
      </c>
      <c r="F11" s="6">
        <v>97658</v>
      </c>
      <c r="G11" s="6"/>
      <c r="H11" s="6"/>
      <c r="I11" s="6"/>
    </row>
    <row r="12" spans="1:9">
      <c r="A12" s="5" t="s">
        <v>614</v>
      </c>
      <c r="B12" s="6"/>
      <c r="C12" s="6"/>
      <c r="D12" s="6"/>
      <c r="E12" s="6"/>
      <c r="F12" s="6"/>
      <c r="G12" s="6"/>
      <c r="H12" s="6"/>
      <c r="I12" s="6"/>
    </row>
    <row r="13" spans="1:9">
      <c r="A13" s="6" t="s">
        <v>615</v>
      </c>
      <c r="B13" s="6">
        <v>-29418</v>
      </c>
      <c r="C13" s="6">
        <v>-22095</v>
      </c>
      <c r="D13" s="6">
        <v>-18760</v>
      </c>
      <c r="E13" s="6">
        <v>-19487</v>
      </c>
      <c r="F13" s="6">
        <v>-21331</v>
      </c>
      <c r="G13" s="6"/>
      <c r="H13" s="6"/>
      <c r="I13" s="6"/>
    </row>
    <row r="14" spans="1:9">
      <c r="A14" s="6" t="s">
        <v>616</v>
      </c>
      <c r="B14" s="6">
        <v>18227</v>
      </c>
      <c r="C14" s="6">
        <v>19541</v>
      </c>
      <c r="D14" s="6">
        <v>16330</v>
      </c>
      <c r="E14" s="6">
        <v>17606</v>
      </c>
      <c r="F14" s="6">
        <v>18104</v>
      </c>
      <c r="G14" s="6"/>
      <c r="H14" s="6"/>
      <c r="I14" s="6"/>
    </row>
    <row r="15" spans="1:9">
      <c r="A15" s="6" t="s">
        <v>617</v>
      </c>
      <c r="B15" s="6">
        <v>-4986</v>
      </c>
      <c r="C15" s="6">
        <v>-5392</v>
      </c>
      <c r="D15" s="6">
        <v>-5874</v>
      </c>
      <c r="E15" s="6">
        <v>-6331</v>
      </c>
      <c r="F15" s="6">
        <v>-7145</v>
      </c>
      <c r="G15" s="6"/>
      <c r="H15" s="6"/>
      <c r="I15" s="6"/>
    </row>
    <row r="16" spans="1:9">
      <c r="A16" s="6" t="s">
        <v>618</v>
      </c>
      <c r="B16" s="6">
        <v>-7458</v>
      </c>
      <c r="C16" s="6">
        <v>-6723</v>
      </c>
      <c r="D16" s="6">
        <v>-4615</v>
      </c>
      <c r="E16" s="6">
        <v>-3971</v>
      </c>
      <c r="F16" s="6">
        <v>-5004</v>
      </c>
      <c r="G16" s="6"/>
      <c r="H16" s="6"/>
      <c r="I16" s="6"/>
    </row>
    <row r="17" spans="1:9">
      <c r="A17" s="6" t="s">
        <v>619</v>
      </c>
      <c r="B17" s="6">
        <v>-1842</v>
      </c>
      <c r="C17" s="6">
        <v>-1004</v>
      </c>
      <c r="D17" s="6">
        <v>-906</v>
      </c>
      <c r="E17" s="6">
        <v>-1117</v>
      </c>
      <c r="F17" s="6">
        <v>-1242</v>
      </c>
      <c r="G17" s="6"/>
      <c r="H17" s="6"/>
      <c r="I17" s="6"/>
    </row>
    <row r="18" spans="1:9">
      <c r="A18" s="6" t="s">
        <v>620</v>
      </c>
      <c r="B18" s="6">
        <v>812</v>
      </c>
      <c r="C18" s="6">
        <v>901</v>
      </c>
      <c r="D18" s="6">
        <v>774</v>
      </c>
      <c r="E18" s="6">
        <v>633</v>
      </c>
      <c r="F18" s="6">
        <v>689</v>
      </c>
      <c r="G18" s="6"/>
      <c r="H18" s="6"/>
      <c r="I18" s="6"/>
    </row>
    <row r="19" spans="1:9">
      <c r="A19" s="6" t="s">
        <v>621</v>
      </c>
      <c r="B19" s="6">
        <v>-24665</v>
      </c>
      <c r="C19" s="6">
        <v>-14772</v>
      </c>
      <c r="D19" s="6">
        <v>-13051</v>
      </c>
      <c r="E19" s="6">
        <v>-12667</v>
      </c>
      <c r="F19" s="6">
        <v>-15929</v>
      </c>
      <c r="G19" s="6"/>
      <c r="H19" s="6"/>
      <c r="I19" s="6"/>
    </row>
    <row r="20" spans="1:9">
      <c r="A20" s="6" t="s">
        <v>622</v>
      </c>
      <c r="B20" s="6"/>
      <c r="C20" s="6"/>
      <c r="D20" s="6"/>
      <c r="E20" s="6"/>
      <c r="F20" s="6"/>
      <c r="G20" s="6"/>
      <c r="H20" s="6"/>
      <c r="I20" s="6"/>
    </row>
    <row r="21" spans="1:9">
      <c r="A21" s="6" t="s">
        <v>623</v>
      </c>
      <c r="B21" s="6">
        <v>-20984</v>
      </c>
      <c r="C21" s="6">
        <v>-29107</v>
      </c>
      <c r="D21" s="6">
        <v>-36414</v>
      </c>
      <c r="E21" s="6">
        <v>-42155</v>
      </c>
      <c r="F21" s="6">
        <v>-48207</v>
      </c>
      <c r="G21" s="6"/>
      <c r="H21" s="6"/>
      <c r="I21" s="6"/>
    </row>
    <row r="22" spans="1:9">
      <c r="A22" s="6" t="s">
        <v>199</v>
      </c>
      <c r="B22" s="6">
        <v>-7220</v>
      </c>
      <c r="C22" s="6">
        <v>-8114</v>
      </c>
      <c r="D22" s="6">
        <v>-9136</v>
      </c>
      <c r="E22" s="6">
        <v>-10071</v>
      </c>
      <c r="F22" s="6">
        <v>-11298</v>
      </c>
      <c r="G22" s="6"/>
      <c r="H22" s="6"/>
      <c r="I22" s="6"/>
    </row>
    <row r="23" spans="1:9">
      <c r="A23" s="78" t="s">
        <v>624</v>
      </c>
      <c r="B23" s="66">
        <v>10841</v>
      </c>
      <c r="C23" s="161">
        <v>11652</v>
      </c>
      <c r="D23" s="161">
        <v>9981</v>
      </c>
      <c r="E23" s="161">
        <v>6884</v>
      </c>
      <c r="F23" s="161">
        <v>9113</v>
      </c>
      <c r="G23" s="6"/>
      <c r="H23" s="6"/>
      <c r="I23" s="6"/>
    </row>
    <row r="24" spans="1:9">
      <c r="A24" s="5" t="s">
        <v>625</v>
      </c>
      <c r="B24" s="6">
        <v>1362</v>
      </c>
      <c r="C24" s="6">
        <v>1541</v>
      </c>
      <c r="D24" s="6">
        <v>1623</v>
      </c>
      <c r="E24" s="6">
        <v>1704</v>
      </c>
      <c r="F24" s="6">
        <v>1896</v>
      </c>
      <c r="G24" s="6"/>
      <c r="H24" s="6"/>
      <c r="I24" s="6"/>
    </row>
    <row r="25" spans="1:9">
      <c r="A25" s="6" t="s">
        <v>626</v>
      </c>
      <c r="B25" s="6">
        <v>-1115</v>
      </c>
      <c r="C25" s="6">
        <v>-1208</v>
      </c>
      <c r="D25" s="6">
        <v>-1322</v>
      </c>
      <c r="E25" s="6">
        <v>-1411</v>
      </c>
      <c r="F25" s="6">
        <v>-1530</v>
      </c>
      <c r="G25" s="6"/>
      <c r="H25" s="6"/>
      <c r="I25" s="6"/>
    </row>
    <row r="26" spans="1:9">
      <c r="A26" s="6" t="s">
        <v>627</v>
      </c>
      <c r="B26" s="6">
        <v>-17116</v>
      </c>
      <c r="C26" s="6">
        <v>-25236</v>
      </c>
      <c r="D26" s="6">
        <v>-35268</v>
      </c>
      <c r="E26" s="6">
        <v>-45049</v>
      </c>
      <c r="F26" s="6">
        <v>-50026</v>
      </c>
      <c r="G26" s="6"/>
      <c r="H26" s="6"/>
      <c r="I26" s="6"/>
    </row>
    <row r="27" spans="1:9">
      <c r="A27" s="6" t="s">
        <v>628</v>
      </c>
      <c r="B27" s="6"/>
      <c r="C27" s="6"/>
      <c r="D27" s="6"/>
      <c r="E27" s="6"/>
      <c r="F27" s="6"/>
      <c r="G27" s="6"/>
      <c r="H27" s="6"/>
      <c r="I27" s="6"/>
    </row>
    <row r="28" spans="1:9">
      <c r="A28" s="6" t="s">
        <v>629</v>
      </c>
      <c r="B28" s="6">
        <v>2584</v>
      </c>
      <c r="C28" s="6">
        <v>23153</v>
      </c>
      <c r="D28" s="6">
        <v>27380</v>
      </c>
      <c r="E28" s="6">
        <v>25916</v>
      </c>
      <c r="F28" s="6">
        <v>31703</v>
      </c>
      <c r="G28" s="6"/>
      <c r="H28" s="6"/>
      <c r="I28" s="6"/>
    </row>
    <row r="29" spans="1:9">
      <c r="A29" s="6" t="s">
        <v>630</v>
      </c>
      <c r="B29" s="6">
        <v>67280</v>
      </c>
      <c r="C29" s="6">
        <v>69864</v>
      </c>
      <c r="D29" s="6">
        <v>93017</v>
      </c>
      <c r="E29" s="6">
        <v>120397</v>
      </c>
      <c r="F29" s="6">
        <v>146313</v>
      </c>
      <c r="G29" s="6"/>
      <c r="H29" s="6"/>
      <c r="I29" s="6"/>
    </row>
    <row r="30" spans="1:9">
      <c r="A30" s="6" t="s">
        <v>631</v>
      </c>
      <c r="B30" s="6">
        <v>69864</v>
      </c>
      <c r="C30" s="6">
        <v>93017</v>
      </c>
      <c r="D30" s="6">
        <v>120397</v>
      </c>
      <c r="E30" s="6">
        <v>146313</v>
      </c>
      <c r="F30" s="6">
        <v>178016</v>
      </c>
      <c r="G30" s="6"/>
      <c r="H30" s="6"/>
      <c r="I30" s="6"/>
    </row>
    <row r="31" spans="1:9">
      <c r="A31" s="6" t="s">
        <v>300</v>
      </c>
      <c r="B31" s="6">
        <v>144896</v>
      </c>
      <c r="C31" s="6">
        <v>232340</v>
      </c>
      <c r="D31" s="6">
        <v>295554</v>
      </c>
      <c r="E31" s="6">
        <v>344458</v>
      </c>
      <c r="F31" s="6">
        <v>419438</v>
      </c>
      <c r="G31" s="6"/>
      <c r="H31" s="6"/>
      <c r="I31" s="6"/>
    </row>
    <row r="32" spans="1:9">
      <c r="G32" s="6"/>
      <c r="H32" s="6"/>
      <c r="I32" s="6"/>
    </row>
    <row r="33" spans="1:9">
      <c r="A33" s="167" t="s">
        <v>896</v>
      </c>
      <c r="G33" s="6"/>
      <c r="H33" s="6"/>
      <c r="I33" s="6"/>
    </row>
    <row r="34" spans="1:9">
      <c r="G34" s="6"/>
      <c r="H34" s="6"/>
      <c r="I34" s="6"/>
    </row>
    <row r="35" spans="1:9">
      <c r="G35" s="6"/>
      <c r="H35" s="6"/>
      <c r="I35" s="6"/>
    </row>
    <row r="36" spans="1:9">
      <c r="G36" s="6"/>
      <c r="H36" s="6"/>
      <c r="I36" s="6"/>
    </row>
    <row r="37" spans="1:9">
      <c r="G37" s="6"/>
      <c r="H37" s="6"/>
      <c r="I37" s="6"/>
    </row>
    <row r="38" spans="1:9">
      <c r="G38" s="6"/>
      <c r="H38" s="6"/>
      <c r="I38" s="6"/>
    </row>
    <row r="39" spans="1:9">
      <c r="G39" s="6"/>
      <c r="H39" s="6"/>
      <c r="I39" s="6"/>
    </row>
    <row r="40" spans="1:9">
      <c r="G40" s="6"/>
      <c r="H40" s="6"/>
      <c r="I40" s="6"/>
    </row>
    <row r="41" spans="1:9">
      <c r="G41" s="6"/>
      <c r="H41" s="6"/>
      <c r="I41" s="6"/>
    </row>
    <row r="42" spans="1:9">
      <c r="G42" s="6"/>
      <c r="H42" s="6"/>
      <c r="I42" s="6"/>
    </row>
    <row r="43" spans="1:9">
      <c r="G43" s="6"/>
      <c r="H43" s="6"/>
      <c r="I43" s="6"/>
    </row>
    <row r="44" spans="1:9">
      <c r="G44" s="6"/>
      <c r="H44" s="6"/>
      <c r="I44" s="6"/>
    </row>
    <row r="45" spans="1:9">
      <c r="G45" s="6"/>
      <c r="H45" s="6"/>
      <c r="I45" s="6"/>
    </row>
    <row r="46" spans="1:9">
      <c r="G46" s="6"/>
      <c r="H46" s="6"/>
      <c r="I46" s="6"/>
    </row>
    <row r="47" spans="1:9">
      <c r="G47" s="6"/>
      <c r="H47" s="6"/>
      <c r="I47" s="6"/>
    </row>
    <row r="48" spans="1:9">
      <c r="G48" s="6"/>
      <c r="H48" s="6"/>
      <c r="I48" s="6"/>
    </row>
    <row r="49" spans="7:9">
      <c r="G49" s="6"/>
      <c r="H49" s="6"/>
      <c r="I49" s="6"/>
    </row>
    <row r="50" spans="7:9">
      <c r="G50" s="6"/>
      <c r="H50" s="6"/>
      <c r="I50" s="6"/>
    </row>
    <row r="51" spans="7:9">
      <c r="G51" s="6"/>
      <c r="H51" s="6"/>
      <c r="I51" s="6"/>
    </row>
    <row r="52" spans="7:9">
      <c r="G52" s="6"/>
      <c r="H52" s="6"/>
      <c r="I52" s="6"/>
    </row>
    <row r="53" spans="7:9">
      <c r="G53" s="6"/>
      <c r="H53" s="6"/>
      <c r="I53" s="6"/>
    </row>
    <row r="54" spans="7:9">
      <c r="G54" s="6"/>
      <c r="H54" s="6"/>
      <c r="I54" s="6"/>
    </row>
  </sheetData>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DF303-84DA-4157-9E16-F4A51EDDA17A}">
  <dimension ref="A1:N318"/>
  <sheetViews>
    <sheetView zoomScale="52" workbookViewId="0"/>
  </sheetViews>
  <sheetFormatPr defaultRowHeight="14"/>
  <cols>
    <col min="1" max="1" width="78" customWidth="1"/>
    <col min="2" max="2" width="16.75" customWidth="1"/>
    <col min="3" max="3" width="17" customWidth="1"/>
    <col min="4" max="5" width="16.58203125" customWidth="1"/>
    <col min="6" max="6" width="18" customWidth="1"/>
    <col min="9" max="9" width="59.83203125" customWidth="1"/>
    <col min="10" max="12" width="15.25" customWidth="1"/>
    <col min="13" max="13" width="16.1640625" customWidth="1"/>
    <col min="14" max="14" width="16.83203125" customWidth="1"/>
  </cols>
  <sheetData>
    <row r="1" spans="1:14">
      <c r="A1" t="s">
        <v>923</v>
      </c>
      <c r="B1" t="s">
        <v>632</v>
      </c>
      <c r="C1" t="s">
        <v>633</v>
      </c>
      <c r="D1" t="s">
        <v>634</v>
      </c>
      <c r="E1" t="s">
        <v>635</v>
      </c>
      <c r="F1" t="s">
        <v>636</v>
      </c>
      <c r="I1" t="s">
        <v>924</v>
      </c>
      <c r="J1" t="s">
        <v>637</v>
      </c>
      <c r="K1" t="s">
        <v>638</v>
      </c>
      <c r="L1" t="s">
        <v>639</v>
      </c>
      <c r="M1" t="s">
        <v>640</v>
      </c>
      <c r="N1" t="s">
        <v>641</v>
      </c>
    </row>
    <row r="2" spans="1:14">
      <c r="B2" t="s">
        <v>637</v>
      </c>
      <c r="C2" t="s">
        <v>638</v>
      </c>
      <c r="D2" t="s">
        <v>639</v>
      </c>
      <c r="E2" t="s">
        <v>640</v>
      </c>
      <c r="F2" t="s">
        <v>641</v>
      </c>
    </row>
    <row r="3" spans="1:14">
      <c r="A3" t="s">
        <v>1</v>
      </c>
      <c r="D3" t="s">
        <v>23</v>
      </c>
      <c r="E3" t="s">
        <v>23</v>
      </c>
      <c r="F3" t="s">
        <v>23</v>
      </c>
      <c r="I3" t="s">
        <v>25</v>
      </c>
      <c r="L3" t="s">
        <v>23</v>
      </c>
      <c r="M3" t="s">
        <v>23</v>
      </c>
      <c r="N3" t="s">
        <v>23</v>
      </c>
    </row>
    <row r="4" spans="1:14">
      <c r="A4" t="s">
        <v>2</v>
      </c>
      <c r="B4">
        <v>15301</v>
      </c>
      <c r="C4">
        <v>18884</v>
      </c>
      <c r="D4">
        <v>22237</v>
      </c>
      <c r="E4">
        <v>25098</v>
      </c>
      <c r="F4">
        <v>28167</v>
      </c>
      <c r="I4" t="s">
        <v>26</v>
      </c>
      <c r="J4">
        <v>10113</v>
      </c>
      <c r="K4">
        <v>7421</v>
      </c>
      <c r="L4">
        <v>7008</v>
      </c>
      <c r="M4">
        <v>8588</v>
      </c>
      <c r="N4">
        <v>8442</v>
      </c>
    </row>
    <row r="5" spans="1:14">
      <c r="A5" t="s">
        <v>3</v>
      </c>
      <c r="D5" t="s">
        <v>23</v>
      </c>
      <c r="E5" t="s">
        <v>23</v>
      </c>
      <c r="F5" t="s">
        <v>23</v>
      </c>
      <c r="I5" t="s">
        <v>27</v>
      </c>
      <c r="J5">
        <v>586</v>
      </c>
      <c r="K5">
        <v>586</v>
      </c>
      <c r="L5">
        <v>589</v>
      </c>
      <c r="M5">
        <v>32</v>
      </c>
      <c r="N5">
        <v>492</v>
      </c>
    </row>
    <row r="6" spans="1:14">
      <c r="A6" t="s">
        <v>4</v>
      </c>
      <c r="B6">
        <v>5910</v>
      </c>
      <c r="C6">
        <v>7087</v>
      </c>
      <c r="D6">
        <v>8078</v>
      </c>
      <c r="E6">
        <v>8927</v>
      </c>
      <c r="F6">
        <v>10193</v>
      </c>
      <c r="I6" t="s">
        <v>28</v>
      </c>
      <c r="J6">
        <v>483</v>
      </c>
      <c r="K6">
        <v>473</v>
      </c>
      <c r="L6">
        <v>400</v>
      </c>
      <c r="M6">
        <v>1845</v>
      </c>
      <c r="N6">
        <v>1874</v>
      </c>
    </row>
    <row r="7" spans="1:14">
      <c r="A7" t="s">
        <v>5</v>
      </c>
      <c r="B7">
        <v>657</v>
      </c>
      <c r="C7">
        <v>895</v>
      </c>
      <c r="D7">
        <v>789</v>
      </c>
      <c r="E7">
        <v>825</v>
      </c>
      <c r="F7">
        <v>815</v>
      </c>
      <c r="I7" t="s">
        <v>29</v>
      </c>
      <c r="J7">
        <v>2646</v>
      </c>
      <c r="K7">
        <v>3006</v>
      </c>
      <c r="L7">
        <v>3425</v>
      </c>
      <c r="M7">
        <v>592</v>
      </c>
      <c r="N7">
        <v>330</v>
      </c>
    </row>
    <row r="8" spans="1:14">
      <c r="A8" t="s">
        <v>6</v>
      </c>
      <c r="B8">
        <v>580</v>
      </c>
      <c r="C8">
        <v>726</v>
      </c>
      <c r="D8">
        <v>750</v>
      </c>
      <c r="E8">
        <v>799</v>
      </c>
      <c r="F8">
        <v>897</v>
      </c>
      <c r="I8" t="s">
        <v>30</v>
      </c>
      <c r="J8">
        <v>1706</v>
      </c>
      <c r="K8">
        <v>1319</v>
      </c>
      <c r="L8">
        <v>1270</v>
      </c>
      <c r="M8">
        <v>4060</v>
      </c>
      <c r="N8">
        <v>3773</v>
      </c>
    </row>
    <row r="9" spans="1:14">
      <c r="A9" t="s">
        <v>7</v>
      </c>
      <c r="B9">
        <v>73</v>
      </c>
      <c r="C9">
        <v>94</v>
      </c>
      <c r="D9">
        <v>356</v>
      </c>
      <c r="E9">
        <v>539</v>
      </c>
      <c r="F9">
        <v>680</v>
      </c>
      <c r="I9" t="s">
        <v>31</v>
      </c>
      <c r="J9">
        <v>1696</v>
      </c>
      <c r="K9">
        <v>1873</v>
      </c>
      <c r="L9">
        <v>1568</v>
      </c>
      <c r="M9">
        <v>1233</v>
      </c>
      <c r="N9">
        <v>1821</v>
      </c>
    </row>
    <row r="10" spans="1:14">
      <c r="A10" t="s">
        <v>8</v>
      </c>
      <c r="B10">
        <v>7220</v>
      </c>
      <c r="C10">
        <v>8802</v>
      </c>
      <c r="D10">
        <v>9973</v>
      </c>
      <c r="E10">
        <v>11090</v>
      </c>
      <c r="F10">
        <v>12585</v>
      </c>
      <c r="I10" t="s">
        <v>32</v>
      </c>
      <c r="J10">
        <v>1883</v>
      </c>
      <c r="K10">
        <v>2271</v>
      </c>
      <c r="L10">
        <v>2346</v>
      </c>
      <c r="M10">
        <v>2611</v>
      </c>
      <c r="N10">
        <v>2992</v>
      </c>
    </row>
    <row r="11" spans="1:14">
      <c r="A11" t="s">
        <v>9</v>
      </c>
      <c r="B11">
        <v>8081</v>
      </c>
      <c r="C11">
        <v>10082</v>
      </c>
      <c r="D11">
        <v>12264</v>
      </c>
      <c r="E11">
        <v>14008</v>
      </c>
      <c r="F11">
        <v>15582</v>
      </c>
      <c r="I11" t="s">
        <v>33</v>
      </c>
      <c r="J11">
        <v>19113</v>
      </c>
      <c r="K11">
        <v>16949</v>
      </c>
      <c r="L11">
        <v>16606</v>
      </c>
      <c r="M11">
        <v>18961</v>
      </c>
      <c r="N11">
        <v>19724</v>
      </c>
    </row>
    <row r="12" spans="1:14">
      <c r="A12" t="s">
        <v>10</v>
      </c>
      <c r="D12" t="s">
        <v>23</v>
      </c>
      <c r="E12" t="s">
        <v>23</v>
      </c>
      <c r="F12" t="s">
        <v>23</v>
      </c>
      <c r="I12" t="s">
        <v>34</v>
      </c>
      <c r="J12">
        <v>1902</v>
      </c>
      <c r="K12">
        <v>1907</v>
      </c>
      <c r="L12">
        <v>2006</v>
      </c>
      <c r="M12">
        <v>2061</v>
      </c>
      <c r="N12">
        <v>2138</v>
      </c>
    </row>
    <row r="13" spans="1:14">
      <c r="A13" t="s">
        <v>11</v>
      </c>
      <c r="B13">
        <v>24</v>
      </c>
      <c r="C13">
        <v>11</v>
      </c>
      <c r="D13">
        <v>61</v>
      </c>
      <c r="E13">
        <v>274</v>
      </c>
      <c r="F13">
        <v>327</v>
      </c>
      <c r="I13" t="s">
        <v>35</v>
      </c>
      <c r="J13">
        <v>491</v>
      </c>
      <c r="K13">
        <v>486</v>
      </c>
      <c r="L13">
        <v>1151</v>
      </c>
      <c r="M13">
        <v>1355</v>
      </c>
      <c r="N13">
        <v>1614</v>
      </c>
    </row>
    <row r="14" spans="1:14">
      <c r="A14" t="s">
        <v>12</v>
      </c>
      <c r="B14">
        <v>30</v>
      </c>
      <c r="C14">
        <v>645</v>
      </c>
      <c r="D14">
        <v>-145</v>
      </c>
      <c r="E14">
        <v>-61</v>
      </c>
      <c r="F14">
        <v>-29</v>
      </c>
      <c r="I14" t="s">
        <v>36</v>
      </c>
      <c r="J14">
        <v>4960</v>
      </c>
      <c r="K14">
        <v>7662</v>
      </c>
      <c r="L14">
        <v>7522</v>
      </c>
      <c r="M14">
        <v>7660</v>
      </c>
      <c r="N14">
        <v>9193</v>
      </c>
    </row>
    <row r="15" spans="1:14">
      <c r="A15" t="s">
        <v>13</v>
      </c>
      <c r="B15">
        <v>-380</v>
      </c>
      <c r="C15">
        <v>-431</v>
      </c>
      <c r="D15">
        <v>-471</v>
      </c>
      <c r="E15">
        <v>-575</v>
      </c>
      <c r="F15">
        <v>-646</v>
      </c>
      <c r="I15" t="s">
        <v>37</v>
      </c>
      <c r="J15">
        <v>1753</v>
      </c>
      <c r="K15">
        <v>3671</v>
      </c>
      <c r="L15">
        <v>3859</v>
      </c>
      <c r="M15">
        <v>4086</v>
      </c>
      <c r="N15">
        <v>5453</v>
      </c>
    </row>
    <row r="16" spans="1:14">
      <c r="A16" t="s">
        <v>14</v>
      </c>
      <c r="B16">
        <v>5</v>
      </c>
      <c r="C16">
        <v>0</v>
      </c>
      <c r="D16">
        <v>23</v>
      </c>
      <c r="E16">
        <v>-7</v>
      </c>
      <c r="F16">
        <v>20</v>
      </c>
      <c r="I16" t="s">
        <v>38</v>
      </c>
      <c r="J16">
        <v>5365</v>
      </c>
      <c r="K16">
        <v>6994</v>
      </c>
      <c r="L16">
        <v>7580</v>
      </c>
      <c r="M16">
        <v>8325</v>
      </c>
      <c r="N16">
        <v>9959</v>
      </c>
    </row>
    <row r="17" spans="1:14">
      <c r="A17" t="s">
        <v>15</v>
      </c>
      <c r="B17">
        <v>-321</v>
      </c>
      <c r="C17">
        <v>225</v>
      </c>
      <c r="D17">
        <v>-532</v>
      </c>
      <c r="E17">
        <v>-369</v>
      </c>
      <c r="F17">
        <v>-328</v>
      </c>
      <c r="I17" t="s">
        <v>39</v>
      </c>
      <c r="J17">
        <v>33584</v>
      </c>
      <c r="K17">
        <v>37669</v>
      </c>
      <c r="L17">
        <v>38724</v>
      </c>
      <c r="M17">
        <v>42448</v>
      </c>
      <c r="N17">
        <v>48081</v>
      </c>
    </row>
    <row r="18" spans="1:14">
      <c r="A18" t="s">
        <v>16</v>
      </c>
      <c r="B18">
        <v>7760</v>
      </c>
      <c r="C18">
        <v>10307</v>
      </c>
      <c r="D18">
        <v>11732</v>
      </c>
      <c r="E18">
        <v>13639</v>
      </c>
      <c r="F18">
        <v>15254</v>
      </c>
      <c r="I18" t="s">
        <v>40</v>
      </c>
      <c r="L18" t="s">
        <v>23</v>
      </c>
      <c r="M18" t="s">
        <v>23</v>
      </c>
      <c r="N18" t="s">
        <v>23</v>
      </c>
    </row>
    <row r="19" spans="1:14">
      <c r="A19" t="s">
        <v>17</v>
      </c>
      <c r="B19">
        <v>1349</v>
      </c>
      <c r="C19">
        <v>1620</v>
      </c>
      <c r="D19">
        <v>1802</v>
      </c>
      <c r="E19">
        <v>2444</v>
      </c>
      <c r="F19">
        <v>2380</v>
      </c>
      <c r="I19" t="s">
        <v>41</v>
      </c>
      <c r="J19">
        <v>527</v>
      </c>
      <c r="K19">
        <v>738</v>
      </c>
      <c r="L19">
        <v>926</v>
      </c>
      <c r="M19">
        <v>834</v>
      </c>
      <c r="N19">
        <v>929</v>
      </c>
    </row>
    <row r="20" spans="1:14">
      <c r="A20" t="s">
        <v>18</v>
      </c>
      <c r="B20">
        <v>6411</v>
      </c>
      <c r="C20">
        <v>8687</v>
      </c>
      <c r="D20">
        <v>9930</v>
      </c>
      <c r="E20">
        <v>11195</v>
      </c>
      <c r="F20">
        <v>12874</v>
      </c>
      <c r="I20" t="s">
        <v>42</v>
      </c>
      <c r="J20">
        <v>1475</v>
      </c>
      <c r="K20">
        <v>913</v>
      </c>
      <c r="L20">
        <v>1111</v>
      </c>
      <c r="M20">
        <v>1399</v>
      </c>
      <c r="N20">
        <v>2316</v>
      </c>
    </row>
    <row r="21" spans="1:14">
      <c r="A21" t="s">
        <v>19</v>
      </c>
      <c r="B21">
        <v>6.4</v>
      </c>
      <c r="C21">
        <v>8.7899999999999991</v>
      </c>
      <c r="D21">
        <v>10.26</v>
      </c>
      <c r="E21">
        <v>11.86</v>
      </c>
      <c r="F21">
        <v>13.91</v>
      </c>
      <c r="I21" t="s">
        <v>31</v>
      </c>
      <c r="J21">
        <v>1696</v>
      </c>
      <c r="K21">
        <v>1873</v>
      </c>
      <c r="L21">
        <v>1568</v>
      </c>
      <c r="M21">
        <v>1845</v>
      </c>
      <c r="N21">
        <v>1874</v>
      </c>
    </row>
    <row r="22" spans="1:14">
      <c r="A22" t="s">
        <v>20</v>
      </c>
      <c r="B22">
        <v>1002</v>
      </c>
      <c r="C22">
        <v>988</v>
      </c>
      <c r="D22">
        <v>968</v>
      </c>
      <c r="E22">
        <v>944</v>
      </c>
      <c r="F22">
        <v>925</v>
      </c>
      <c r="I22" t="s">
        <v>43</v>
      </c>
      <c r="J22">
        <v>842</v>
      </c>
      <c r="K22">
        <v>840</v>
      </c>
      <c r="L22">
        <v>1094</v>
      </c>
      <c r="M22">
        <v>723</v>
      </c>
      <c r="N22">
        <v>930</v>
      </c>
    </row>
    <row r="23" spans="1:14">
      <c r="A23" t="s">
        <v>21</v>
      </c>
      <c r="B23">
        <v>6.37</v>
      </c>
      <c r="C23">
        <v>8.76</v>
      </c>
      <c r="D23">
        <v>10.220000000000001</v>
      </c>
      <c r="E23">
        <v>11.83</v>
      </c>
      <c r="F23">
        <v>13.89</v>
      </c>
      <c r="I23" t="s">
        <v>44</v>
      </c>
      <c r="J23">
        <v>5430</v>
      </c>
      <c r="K23">
        <v>6642</v>
      </c>
      <c r="L23">
        <v>7801</v>
      </c>
      <c r="M23">
        <v>8517</v>
      </c>
      <c r="N23">
        <v>10393</v>
      </c>
    </row>
    <row r="24" spans="1:14">
      <c r="A24" t="s">
        <v>22</v>
      </c>
      <c r="B24">
        <v>1006</v>
      </c>
      <c r="C24">
        <v>992</v>
      </c>
      <c r="D24">
        <v>971</v>
      </c>
      <c r="E24">
        <v>946</v>
      </c>
      <c r="F24">
        <v>927</v>
      </c>
      <c r="I24" t="s">
        <v>45</v>
      </c>
      <c r="J24">
        <v>649</v>
      </c>
      <c r="K24">
        <v>792</v>
      </c>
      <c r="L24">
        <v>274</v>
      </c>
      <c r="M24">
        <v>1337</v>
      </c>
      <c r="N24">
        <v>750</v>
      </c>
    </row>
    <row r="25" spans="1:14">
      <c r="I25" t="s">
        <v>46</v>
      </c>
      <c r="J25">
        <v>1228</v>
      </c>
      <c r="K25">
        <v>1364</v>
      </c>
      <c r="L25">
        <v>1397</v>
      </c>
      <c r="M25">
        <v>1609</v>
      </c>
      <c r="N25">
        <v>2028</v>
      </c>
    </row>
    <row r="26" spans="1:14">
      <c r="I26" t="s">
        <v>47</v>
      </c>
      <c r="J26">
        <v>11847</v>
      </c>
      <c r="K26">
        <v>13162</v>
      </c>
      <c r="L26">
        <v>14171</v>
      </c>
      <c r="M26">
        <v>16264</v>
      </c>
      <c r="N26">
        <v>19220</v>
      </c>
    </row>
    <row r="27" spans="1:14">
      <c r="A27" s="167" t="s">
        <v>642</v>
      </c>
      <c r="I27" t="s">
        <v>48</v>
      </c>
      <c r="J27">
        <v>12023</v>
      </c>
      <c r="K27">
        <v>13109</v>
      </c>
      <c r="L27">
        <v>13749</v>
      </c>
      <c r="M27">
        <v>14344</v>
      </c>
      <c r="N27">
        <v>17476</v>
      </c>
    </row>
    <row r="28" spans="1:14">
      <c r="I28" t="s">
        <v>35</v>
      </c>
      <c r="J28">
        <v>86</v>
      </c>
      <c r="K28">
        <v>395</v>
      </c>
      <c r="L28">
        <v>393</v>
      </c>
      <c r="M28">
        <v>369</v>
      </c>
      <c r="N28">
        <v>317</v>
      </c>
    </row>
    <row r="29" spans="1:14">
      <c r="I29" t="s">
        <v>49</v>
      </c>
      <c r="J29">
        <v>3111</v>
      </c>
      <c r="K29">
        <v>3591</v>
      </c>
      <c r="L29">
        <v>4034</v>
      </c>
      <c r="M29">
        <v>4474</v>
      </c>
      <c r="N29">
        <v>4553</v>
      </c>
    </row>
    <row r="30" spans="1:14">
      <c r="I30" t="s">
        <v>50</v>
      </c>
      <c r="J30">
        <v>27067</v>
      </c>
      <c r="K30">
        <v>30257</v>
      </c>
      <c r="L30">
        <v>32347</v>
      </c>
      <c r="M30">
        <v>35451</v>
      </c>
      <c r="N30">
        <v>41566</v>
      </c>
    </row>
    <row r="31" spans="1:14">
      <c r="I31" t="s">
        <v>51</v>
      </c>
      <c r="J31" t="s">
        <v>65</v>
      </c>
      <c r="K31" t="s">
        <v>65</v>
      </c>
      <c r="L31" t="s">
        <v>65</v>
      </c>
      <c r="M31" t="s">
        <v>65</v>
      </c>
      <c r="N31" t="s">
        <v>65</v>
      </c>
    </row>
    <row r="32" spans="1:14">
      <c r="I32" t="s">
        <v>52</v>
      </c>
      <c r="J32">
        <v>29</v>
      </c>
      <c r="K32">
        <v>29</v>
      </c>
      <c r="L32">
        <v>21</v>
      </c>
      <c r="M32">
        <v>22</v>
      </c>
      <c r="N32">
        <v>0</v>
      </c>
    </row>
    <row r="33" spans="9:14">
      <c r="I33" t="s">
        <v>53</v>
      </c>
      <c r="L33" t="s">
        <v>23</v>
      </c>
      <c r="M33" t="s">
        <v>23</v>
      </c>
      <c r="N33" t="s">
        <v>23</v>
      </c>
    </row>
    <row r="34" spans="9:14">
      <c r="I34" t="s">
        <v>54</v>
      </c>
      <c r="J34">
        <v>4982</v>
      </c>
      <c r="K34">
        <v>5061</v>
      </c>
      <c r="L34">
        <v>5298</v>
      </c>
      <c r="M34">
        <v>5893</v>
      </c>
      <c r="N34">
        <v>6442</v>
      </c>
    </row>
    <row r="35" spans="9:14">
      <c r="I35" t="s">
        <v>55</v>
      </c>
      <c r="J35">
        <v>-36658</v>
      </c>
      <c r="K35">
        <v>-42588</v>
      </c>
      <c r="L35">
        <v>-51354</v>
      </c>
      <c r="M35">
        <v>-60429</v>
      </c>
      <c r="N35">
        <v>-71431</v>
      </c>
    </row>
    <row r="36" spans="9:14">
      <c r="I36" t="s">
        <v>56</v>
      </c>
      <c r="J36">
        <v>38747</v>
      </c>
      <c r="K36">
        <v>45648</v>
      </c>
      <c r="L36">
        <v>53607</v>
      </c>
      <c r="M36">
        <v>62564</v>
      </c>
      <c r="N36">
        <v>72907</v>
      </c>
    </row>
    <row r="37" spans="9:14">
      <c r="I37" t="s">
        <v>57</v>
      </c>
      <c r="J37">
        <v>-680</v>
      </c>
      <c r="K37">
        <v>-809</v>
      </c>
      <c r="L37">
        <v>-1253</v>
      </c>
      <c r="M37">
        <v>-1099</v>
      </c>
      <c r="N37">
        <v>-1433</v>
      </c>
    </row>
    <row r="38" spans="9:14">
      <c r="I38" t="s">
        <v>58</v>
      </c>
      <c r="J38">
        <v>6391</v>
      </c>
      <c r="K38">
        <v>7312</v>
      </c>
      <c r="L38">
        <v>6298</v>
      </c>
      <c r="M38">
        <v>6929</v>
      </c>
      <c r="N38">
        <v>6485</v>
      </c>
    </row>
    <row r="39" spans="9:14">
      <c r="I39" t="s">
        <v>59</v>
      </c>
      <c r="J39">
        <v>97</v>
      </c>
      <c r="K39">
        <v>71</v>
      </c>
      <c r="L39">
        <v>58</v>
      </c>
      <c r="M39">
        <v>46</v>
      </c>
      <c r="N39">
        <v>30</v>
      </c>
    </row>
    <row r="40" spans="9:14">
      <c r="I40" t="s">
        <v>60</v>
      </c>
      <c r="J40">
        <v>6488</v>
      </c>
      <c r="K40">
        <v>7383</v>
      </c>
      <c r="L40">
        <v>6356</v>
      </c>
      <c r="M40">
        <v>6975</v>
      </c>
      <c r="N40">
        <v>6515</v>
      </c>
    </row>
    <row r="41" spans="9:14">
      <c r="I41" t="s">
        <v>61</v>
      </c>
      <c r="J41">
        <v>33584</v>
      </c>
      <c r="K41">
        <v>37669</v>
      </c>
      <c r="L41">
        <v>38724</v>
      </c>
      <c r="M41">
        <v>42448</v>
      </c>
      <c r="N41">
        <v>48081</v>
      </c>
    </row>
    <row r="42" spans="9:14">
      <c r="I42" t="s">
        <v>62</v>
      </c>
      <c r="L42" t="s">
        <v>23</v>
      </c>
      <c r="M42" t="s">
        <v>23</v>
      </c>
      <c r="N42" t="s">
        <v>23</v>
      </c>
    </row>
    <row r="43" spans="9:14">
      <c r="I43" t="s">
        <v>53</v>
      </c>
      <c r="L43" t="s">
        <v>23</v>
      </c>
      <c r="M43" t="s">
        <v>23</v>
      </c>
      <c r="N43" t="s">
        <v>23</v>
      </c>
    </row>
    <row r="44" spans="9:14">
      <c r="I44" t="s">
        <v>63</v>
      </c>
      <c r="J44">
        <v>0</v>
      </c>
      <c r="K44">
        <v>0</v>
      </c>
      <c r="L44">
        <v>0</v>
      </c>
      <c r="M44">
        <v>0</v>
      </c>
      <c r="N44">
        <v>0</v>
      </c>
    </row>
    <row r="45" spans="9:14">
      <c r="I45" t="s">
        <v>64</v>
      </c>
      <c r="L45" t="s">
        <v>23</v>
      </c>
      <c r="M45" t="s">
        <v>23</v>
      </c>
      <c r="N45" t="s">
        <v>23</v>
      </c>
    </row>
    <row r="46" spans="9:14">
      <c r="I46" t="s">
        <v>53</v>
      </c>
      <c r="L46" t="s">
        <v>23</v>
      </c>
      <c r="M46" t="s">
        <v>23</v>
      </c>
      <c r="N46" t="s">
        <v>23</v>
      </c>
    </row>
    <row r="47" spans="9:14">
      <c r="I47" t="s">
        <v>63</v>
      </c>
      <c r="J47">
        <v>0</v>
      </c>
      <c r="K47">
        <v>0</v>
      </c>
      <c r="L47">
        <v>0</v>
      </c>
      <c r="M47">
        <v>0</v>
      </c>
      <c r="N47">
        <v>0</v>
      </c>
    </row>
    <row r="48" spans="9:14">
      <c r="I48" s="167" t="s">
        <v>642</v>
      </c>
    </row>
    <row r="49" spans="1:14">
      <c r="A49" t="s">
        <v>643</v>
      </c>
      <c r="I49" t="s">
        <v>644</v>
      </c>
      <c r="K49" t="s">
        <v>645</v>
      </c>
    </row>
    <row r="50" spans="1:14">
      <c r="A50" t="s">
        <v>646</v>
      </c>
      <c r="B50" t="s">
        <v>645</v>
      </c>
      <c r="I50" t="s">
        <v>647</v>
      </c>
      <c r="J50" t="s">
        <v>121</v>
      </c>
      <c r="K50" t="s">
        <v>120</v>
      </c>
      <c r="L50" t="s">
        <v>119</v>
      </c>
      <c r="M50" t="s">
        <v>118</v>
      </c>
      <c r="N50" t="s">
        <v>117</v>
      </c>
    </row>
    <row r="51" spans="1:14">
      <c r="B51" t="s">
        <v>648</v>
      </c>
      <c r="C51" t="s">
        <v>649</v>
      </c>
      <c r="D51" t="s">
        <v>650</v>
      </c>
      <c r="E51" t="s">
        <v>651</v>
      </c>
      <c r="F51" t="s">
        <v>652</v>
      </c>
      <c r="I51" t="s">
        <v>26</v>
      </c>
      <c r="J51">
        <v>16286</v>
      </c>
      <c r="K51">
        <v>15689</v>
      </c>
      <c r="L51">
        <v>15689</v>
      </c>
      <c r="M51">
        <v>16487</v>
      </c>
      <c r="N51">
        <v>16289</v>
      </c>
    </row>
    <row r="52" spans="1:14">
      <c r="A52" t="s">
        <v>2</v>
      </c>
      <c r="B52">
        <v>35926</v>
      </c>
      <c r="C52">
        <v>32653</v>
      </c>
      <c r="D52">
        <v>29310</v>
      </c>
      <c r="E52">
        <v>24105</v>
      </c>
      <c r="F52">
        <v>21846</v>
      </c>
      <c r="I52" t="s">
        <v>653</v>
      </c>
      <c r="J52">
        <v>1764</v>
      </c>
      <c r="K52">
        <v>1449</v>
      </c>
      <c r="L52">
        <v>1449</v>
      </c>
      <c r="M52">
        <v>894</v>
      </c>
      <c r="N52">
        <v>901</v>
      </c>
    </row>
    <row r="53" spans="1:14">
      <c r="A53" t="s">
        <v>3</v>
      </c>
      <c r="B53" t="s">
        <v>23</v>
      </c>
      <c r="C53" t="s">
        <v>23</v>
      </c>
      <c r="D53" t="s">
        <v>23</v>
      </c>
      <c r="I53" t="s">
        <v>654</v>
      </c>
      <c r="J53">
        <v>-64</v>
      </c>
      <c r="K53">
        <v>-106</v>
      </c>
      <c r="L53">
        <v>-106</v>
      </c>
      <c r="M53">
        <v>-1</v>
      </c>
      <c r="N53">
        <v>3</v>
      </c>
    </row>
    <row r="54" spans="1:14">
      <c r="A54" t="s">
        <v>655</v>
      </c>
      <c r="B54">
        <v>6264</v>
      </c>
      <c r="C54">
        <v>5831</v>
      </c>
      <c r="D54">
        <v>4990</v>
      </c>
      <c r="E54">
        <v>4240</v>
      </c>
      <c r="F54">
        <v>3785</v>
      </c>
      <c r="I54" t="s">
        <v>656</v>
      </c>
      <c r="J54">
        <v>2183</v>
      </c>
      <c r="K54">
        <v>1932</v>
      </c>
      <c r="L54">
        <v>1932</v>
      </c>
      <c r="M54">
        <v>1758</v>
      </c>
      <c r="N54">
        <v>1264</v>
      </c>
    </row>
    <row r="55" spans="1:14">
      <c r="A55" t="s">
        <v>657</v>
      </c>
      <c r="B55">
        <v>1560</v>
      </c>
      <c r="C55">
        <v>1341</v>
      </c>
      <c r="D55">
        <v>1336</v>
      </c>
      <c r="E55">
        <v>1136</v>
      </c>
      <c r="F55">
        <v>971</v>
      </c>
      <c r="I55" t="s">
        <v>29</v>
      </c>
      <c r="J55">
        <v>2291</v>
      </c>
      <c r="K55">
        <v>2020</v>
      </c>
      <c r="L55">
        <v>2020</v>
      </c>
      <c r="M55">
        <v>1968</v>
      </c>
      <c r="N55">
        <v>1618</v>
      </c>
    </row>
    <row r="56" spans="1:14">
      <c r="A56" t="s">
        <v>658</v>
      </c>
      <c r="B56">
        <v>778</v>
      </c>
      <c r="C56">
        <v>736</v>
      </c>
      <c r="D56">
        <v>743</v>
      </c>
      <c r="E56">
        <v>730</v>
      </c>
      <c r="F56">
        <v>727</v>
      </c>
      <c r="I56" t="s">
        <v>659</v>
      </c>
      <c r="J56">
        <v>3005</v>
      </c>
      <c r="K56">
        <v>2342</v>
      </c>
      <c r="L56">
        <v>2342</v>
      </c>
      <c r="M56">
        <v>2260</v>
      </c>
      <c r="N56">
        <v>1850</v>
      </c>
    </row>
    <row r="57" spans="1:14">
      <c r="A57" t="s">
        <v>660</v>
      </c>
      <c r="B57">
        <v>635</v>
      </c>
      <c r="C57">
        <v>545</v>
      </c>
      <c r="D57">
        <v>505</v>
      </c>
      <c r="E57">
        <v>403</v>
      </c>
      <c r="F57">
        <v>408</v>
      </c>
      <c r="I57" t="s">
        <v>661</v>
      </c>
      <c r="J57">
        <v>1577</v>
      </c>
      <c r="K57">
        <v>1272</v>
      </c>
      <c r="L57">
        <v>1272</v>
      </c>
      <c r="M57">
        <v>1359</v>
      </c>
      <c r="N57">
        <v>1214</v>
      </c>
    </row>
    <row r="58" spans="1:14">
      <c r="A58" t="s">
        <v>6</v>
      </c>
      <c r="B58">
        <v>1034</v>
      </c>
      <c r="C58">
        <v>943</v>
      </c>
      <c r="D58">
        <v>861</v>
      </c>
      <c r="E58">
        <v>804</v>
      </c>
      <c r="F58">
        <v>767</v>
      </c>
      <c r="I58" t="s">
        <v>32</v>
      </c>
      <c r="J58">
        <v>2584</v>
      </c>
      <c r="K58">
        <v>2668</v>
      </c>
      <c r="L58">
        <v>2668</v>
      </c>
      <c r="M58">
        <v>856</v>
      </c>
      <c r="N58">
        <v>757</v>
      </c>
    </row>
    <row r="59" spans="1:14">
      <c r="A59" t="s">
        <v>4</v>
      </c>
      <c r="B59">
        <v>1598</v>
      </c>
      <c r="C59">
        <v>1330</v>
      </c>
      <c r="D59">
        <v>1194</v>
      </c>
      <c r="E59">
        <v>985</v>
      </c>
      <c r="F59">
        <v>1096</v>
      </c>
      <c r="I59" t="s">
        <v>33</v>
      </c>
      <c r="J59">
        <v>33532</v>
      </c>
      <c r="K59">
        <v>30205</v>
      </c>
      <c r="L59">
        <v>30205</v>
      </c>
      <c r="M59">
        <v>27607</v>
      </c>
      <c r="N59">
        <v>27645</v>
      </c>
    </row>
    <row r="60" spans="1:14">
      <c r="A60" t="s">
        <v>662</v>
      </c>
      <c r="B60">
        <v>462</v>
      </c>
      <c r="C60">
        <v>927</v>
      </c>
      <c r="D60">
        <v>868</v>
      </c>
      <c r="E60">
        <v>3</v>
      </c>
      <c r="F60">
        <v>11</v>
      </c>
      <c r="I60" t="s">
        <v>663</v>
      </c>
      <c r="J60">
        <v>8177</v>
      </c>
      <c r="K60">
        <v>6099</v>
      </c>
      <c r="L60">
        <v>6099</v>
      </c>
      <c r="M60">
        <v>5243</v>
      </c>
      <c r="N60">
        <v>4176</v>
      </c>
    </row>
    <row r="61" spans="1:14">
      <c r="A61" t="s">
        <v>8</v>
      </c>
      <c r="B61">
        <v>12331</v>
      </c>
      <c r="C61">
        <v>11653</v>
      </c>
      <c r="D61">
        <v>10497</v>
      </c>
      <c r="E61">
        <v>8301</v>
      </c>
      <c r="F61">
        <v>7765</v>
      </c>
      <c r="I61" t="s">
        <v>664</v>
      </c>
      <c r="J61">
        <v>3425</v>
      </c>
      <c r="K61">
        <v>3223</v>
      </c>
      <c r="L61">
        <v>3223</v>
      </c>
      <c r="M61">
        <v>2715</v>
      </c>
      <c r="N61">
        <v>2737</v>
      </c>
    </row>
    <row r="62" spans="1:14">
      <c r="A62" t="s">
        <v>9</v>
      </c>
      <c r="B62">
        <v>23595</v>
      </c>
      <c r="C62">
        <v>21000</v>
      </c>
      <c r="D62">
        <v>18813</v>
      </c>
      <c r="E62">
        <v>15804</v>
      </c>
      <c r="F62">
        <v>14081</v>
      </c>
      <c r="I62" t="s">
        <v>36</v>
      </c>
      <c r="J62">
        <v>17997</v>
      </c>
      <c r="K62">
        <v>17787</v>
      </c>
      <c r="L62">
        <v>17787</v>
      </c>
      <c r="M62">
        <v>15958</v>
      </c>
      <c r="N62">
        <v>15910</v>
      </c>
    </row>
    <row r="63" spans="1:14">
      <c r="A63" t="s">
        <v>665</v>
      </c>
      <c r="B63" t="s">
        <v>23</v>
      </c>
      <c r="C63" t="s">
        <v>23</v>
      </c>
      <c r="D63" t="s">
        <v>23</v>
      </c>
      <c r="I63" t="s">
        <v>666</v>
      </c>
      <c r="J63">
        <v>26104</v>
      </c>
      <c r="K63">
        <v>25065</v>
      </c>
      <c r="L63">
        <v>25065</v>
      </c>
      <c r="M63">
        <v>27664</v>
      </c>
      <c r="N63">
        <v>27808</v>
      </c>
    </row>
    <row r="64" spans="1:14">
      <c r="A64" t="s">
        <v>13</v>
      </c>
      <c r="B64">
        <v>-641</v>
      </c>
      <c r="C64">
        <v>-644</v>
      </c>
      <c r="D64">
        <v>-538</v>
      </c>
      <c r="E64">
        <v>-513</v>
      </c>
      <c r="F64">
        <v>-516</v>
      </c>
      <c r="I64" t="s">
        <v>38</v>
      </c>
      <c r="J64">
        <v>3731</v>
      </c>
      <c r="K64">
        <v>3737</v>
      </c>
      <c r="L64">
        <v>3737</v>
      </c>
      <c r="M64">
        <v>4002</v>
      </c>
      <c r="N64">
        <v>3413</v>
      </c>
    </row>
    <row r="65" spans="1:14">
      <c r="A65" t="s">
        <v>667</v>
      </c>
      <c r="B65">
        <v>962</v>
      </c>
      <c r="C65">
        <v>681</v>
      </c>
      <c r="D65">
        <v>-139</v>
      </c>
      <c r="E65">
        <v>772</v>
      </c>
      <c r="F65">
        <v>225</v>
      </c>
      <c r="I65" t="s">
        <v>668</v>
      </c>
      <c r="J65">
        <v>90499</v>
      </c>
      <c r="K65">
        <v>85501</v>
      </c>
      <c r="L65">
        <v>85501</v>
      </c>
      <c r="M65">
        <v>82896</v>
      </c>
      <c r="N65">
        <v>80919</v>
      </c>
    </row>
    <row r="66" spans="1:14">
      <c r="A66" t="s">
        <v>669</v>
      </c>
      <c r="B66">
        <v>321</v>
      </c>
      <c r="C66">
        <v>37</v>
      </c>
      <c r="D66">
        <v>-677</v>
      </c>
      <c r="E66">
        <v>259</v>
      </c>
      <c r="F66">
        <v>-291</v>
      </c>
      <c r="I66" t="s">
        <v>186</v>
      </c>
      <c r="J66" t="s">
        <v>23</v>
      </c>
      <c r="K66" t="s">
        <v>23</v>
      </c>
      <c r="L66" t="s">
        <v>23</v>
      </c>
      <c r="M66" t="s">
        <v>23</v>
      </c>
    </row>
    <row r="67" spans="1:14">
      <c r="A67" t="s">
        <v>16</v>
      </c>
      <c r="B67">
        <v>23916</v>
      </c>
      <c r="C67">
        <v>21037</v>
      </c>
      <c r="D67">
        <v>18136</v>
      </c>
      <c r="E67">
        <v>16063</v>
      </c>
      <c r="F67">
        <v>13790</v>
      </c>
      <c r="I67" t="s">
        <v>41</v>
      </c>
      <c r="J67">
        <v>375</v>
      </c>
      <c r="K67">
        <v>340</v>
      </c>
      <c r="L67">
        <v>340</v>
      </c>
      <c r="M67">
        <v>266</v>
      </c>
      <c r="N67">
        <v>174</v>
      </c>
    </row>
    <row r="68" spans="1:14">
      <c r="A68" t="s">
        <v>670</v>
      </c>
      <c r="B68">
        <v>4173</v>
      </c>
      <c r="C68">
        <v>3764</v>
      </c>
      <c r="D68">
        <v>3179</v>
      </c>
      <c r="E68">
        <v>3752</v>
      </c>
      <c r="F68">
        <v>2924</v>
      </c>
      <c r="I68" t="s">
        <v>671</v>
      </c>
      <c r="J68">
        <v>3269</v>
      </c>
      <c r="K68">
        <v>3281</v>
      </c>
      <c r="L68">
        <v>3281</v>
      </c>
      <c r="M68">
        <v>2443</v>
      </c>
      <c r="N68">
        <v>1736</v>
      </c>
    </row>
    <row r="69" spans="1:14">
      <c r="A69" t="s">
        <v>68</v>
      </c>
      <c r="B69">
        <v>19743</v>
      </c>
      <c r="C69">
        <v>17273</v>
      </c>
      <c r="D69">
        <v>14957</v>
      </c>
      <c r="E69">
        <v>12311</v>
      </c>
      <c r="F69">
        <v>10866</v>
      </c>
      <c r="I69" t="s">
        <v>672</v>
      </c>
      <c r="J69">
        <v>1506</v>
      </c>
      <c r="K69">
        <v>1359</v>
      </c>
      <c r="L69">
        <v>1359</v>
      </c>
      <c r="M69">
        <v>1211</v>
      </c>
      <c r="N69">
        <v>821</v>
      </c>
    </row>
    <row r="70" spans="1:14">
      <c r="A70" t="s">
        <v>673</v>
      </c>
      <c r="B70" t="s">
        <v>23</v>
      </c>
      <c r="C70" t="s">
        <v>23</v>
      </c>
      <c r="D70" t="s">
        <v>23</v>
      </c>
      <c r="I70" t="s">
        <v>674</v>
      </c>
      <c r="J70">
        <v>5015</v>
      </c>
      <c r="K70">
        <v>3726</v>
      </c>
      <c r="L70">
        <v>3726</v>
      </c>
      <c r="M70">
        <v>2334</v>
      </c>
      <c r="N70">
        <v>1840</v>
      </c>
    </row>
    <row r="71" spans="1:14">
      <c r="A71" t="s">
        <v>675</v>
      </c>
      <c r="B71" t="s">
        <v>23</v>
      </c>
      <c r="C71" t="s">
        <v>23</v>
      </c>
      <c r="D71" t="s">
        <v>23</v>
      </c>
      <c r="I71" t="s">
        <v>676</v>
      </c>
      <c r="J71">
        <v>0</v>
      </c>
      <c r="K71">
        <v>2250</v>
      </c>
      <c r="L71">
        <v>2250</v>
      </c>
      <c r="M71">
        <v>999</v>
      </c>
      <c r="N71">
        <v>2999</v>
      </c>
    </row>
    <row r="72" spans="1:14">
      <c r="A72" t="s">
        <v>677</v>
      </c>
      <c r="B72">
        <v>9.74</v>
      </c>
      <c r="C72">
        <v>8.2899999999999991</v>
      </c>
      <c r="D72">
        <v>7.01</v>
      </c>
      <c r="E72">
        <v>5.63</v>
      </c>
      <c r="F72">
        <v>4.9000000000000004</v>
      </c>
      <c r="I72" t="s">
        <v>43</v>
      </c>
      <c r="J72">
        <v>1751</v>
      </c>
      <c r="K72">
        <v>1456</v>
      </c>
      <c r="L72">
        <v>1456</v>
      </c>
      <c r="M72">
        <v>983</v>
      </c>
      <c r="N72">
        <v>914</v>
      </c>
    </row>
    <row r="73" spans="1:14">
      <c r="A73" t="s">
        <v>678</v>
      </c>
      <c r="B73">
        <v>1621</v>
      </c>
      <c r="C73">
        <v>1618</v>
      </c>
      <c r="D73">
        <v>1651</v>
      </c>
      <c r="E73">
        <v>1691</v>
      </c>
      <c r="F73">
        <v>1697</v>
      </c>
      <c r="I73" t="s">
        <v>47</v>
      </c>
      <c r="J73">
        <v>23098</v>
      </c>
      <c r="K73">
        <v>20853</v>
      </c>
      <c r="L73">
        <v>20853</v>
      </c>
      <c r="M73">
        <v>15739</v>
      </c>
      <c r="N73">
        <v>14510</v>
      </c>
    </row>
    <row r="74" spans="1:14">
      <c r="A74" t="s">
        <v>679</v>
      </c>
      <c r="B74">
        <v>9.73</v>
      </c>
      <c r="C74">
        <v>8.2799999999999994</v>
      </c>
      <c r="D74">
        <v>7</v>
      </c>
      <c r="E74">
        <v>5.63</v>
      </c>
      <c r="F74">
        <v>4.8899999999999997</v>
      </c>
      <c r="I74" t="s">
        <v>48</v>
      </c>
      <c r="J74">
        <v>20463</v>
      </c>
      <c r="K74">
        <v>20200</v>
      </c>
      <c r="L74">
        <v>20200</v>
      </c>
      <c r="M74">
        <v>19978</v>
      </c>
      <c r="N74">
        <v>21071</v>
      </c>
    </row>
    <row r="75" spans="1:14">
      <c r="A75" t="s">
        <v>680</v>
      </c>
      <c r="B75">
        <v>2029</v>
      </c>
      <c r="C75">
        <v>2085</v>
      </c>
      <c r="D75">
        <v>2136</v>
      </c>
      <c r="E75">
        <v>2188</v>
      </c>
      <c r="F75">
        <v>2223</v>
      </c>
      <c r="I75" t="s">
        <v>681</v>
      </c>
      <c r="J75">
        <v>5114</v>
      </c>
      <c r="K75">
        <v>5332</v>
      </c>
      <c r="L75">
        <v>5332</v>
      </c>
      <c r="M75">
        <v>6128</v>
      </c>
      <c r="N75">
        <v>5237</v>
      </c>
    </row>
    <row r="76" spans="1:14">
      <c r="A76" t="s">
        <v>682</v>
      </c>
      <c r="B76" t="s">
        <v>23</v>
      </c>
      <c r="C76" t="s">
        <v>23</v>
      </c>
      <c r="D76" t="s">
        <v>23</v>
      </c>
      <c r="I76" t="s">
        <v>49</v>
      </c>
      <c r="J76">
        <v>3091</v>
      </c>
      <c r="K76">
        <v>3535</v>
      </c>
      <c r="L76">
        <v>3535</v>
      </c>
      <c r="M76">
        <v>3462</v>
      </c>
      <c r="N76">
        <v>3891</v>
      </c>
    </row>
    <row r="77" spans="1:14">
      <c r="A77" t="s">
        <v>675</v>
      </c>
      <c r="B77" t="s">
        <v>23</v>
      </c>
      <c r="C77" t="s">
        <v>23</v>
      </c>
      <c r="D77" t="s">
        <v>23</v>
      </c>
      <c r="I77" t="s">
        <v>683</v>
      </c>
      <c r="J77">
        <v>51766</v>
      </c>
      <c r="K77">
        <v>49920</v>
      </c>
      <c r="L77">
        <v>49920</v>
      </c>
      <c r="M77">
        <v>45307</v>
      </c>
      <c r="N77">
        <v>44709</v>
      </c>
    </row>
    <row r="78" spans="1:14">
      <c r="A78" t="s">
        <v>677</v>
      </c>
      <c r="B78">
        <v>15.46</v>
      </c>
      <c r="C78">
        <v>13.26</v>
      </c>
      <c r="D78">
        <v>11.33</v>
      </c>
      <c r="E78">
        <v>9.14</v>
      </c>
      <c r="F78">
        <v>7.94</v>
      </c>
      <c r="I78" t="s">
        <v>684</v>
      </c>
      <c r="J78" t="s">
        <v>65</v>
      </c>
      <c r="K78" t="s">
        <v>65</v>
      </c>
      <c r="L78" t="s">
        <v>65</v>
      </c>
      <c r="M78" t="s">
        <v>65</v>
      </c>
    </row>
    <row r="79" spans="1:14">
      <c r="A79" t="s">
        <v>678</v>
      </c>
      <c r="B79">
        <v>148</v>
      </c>
      <c r="C79">
        <v>245</v>
      </c>
      <c r="D79">
        <v>245</v>
      </c>
      <c r="E79">
        <v>245</v>
      </c>
      <c r="F79">
        <v>245</v>
      </c>
      <c r="I79" t="s">
        <v>602</v>
      </c>
      <c r="J79" t="s">
        <v>23</v>
      </c>
      <c r="K79" t="s">
        <v>23</v>
      </c>
      <c r="L79" t="s">
        <v>23</v>
      </c>
      <c r="M79" t="s">
        <v>23</v>
      </c>
    </row>
    <row r="80" spans="1:14">
      <c r="A80" t="s">
        <v>679</v>
      </c>
      <c r="B80">
        <v>15.45</v>
      </c>
      <c r="C80">
        <v>13.24</v>
      </c>
      <c r="D80">
        <v>11.31</v>
      </c>
      <c r="E80">
        <v>9.1300000000000008</v>
      </c>
      <c r="F80">
        <v>7.93</v>
      </c>
      <c r="I80" t="s">
        <v>685</v>
      </c>
      <c r="J80">
        <v>1698</v>
      </c>
      <c r="K80">
        <v>2324</v>
      </c>
      <c r="L80">
        <v>2324</v>
      </c>
      <c r="M80">
        <v>3080</v>
      </c>
      <c r="N80">
        <v>1543</v>
      </c>
    </row>
    <row r="81" spans="1:14">
      <c r="A81" t="s">
        <v>680</v>
      </c>
      <c r="B81">
        <v>148</v>
      </c>
      <c r="C81">
        <v>245</v>
      </c>
      <c r="D81">
        <v>245</v>
      </c>
      <c r="E81">
        <v>245</v>
      </c>
      <c r="F81">
        <v>245</v>
      </c>
      <c r="I81" t="s">
        <v>686</v>
      </c>
      <c r="J81">
        <v>20452</v>
      </c>
      <c r="K81">
        <v>19545</v>
      </c>
      <c r="L81">
        <v>19545</v>
      </c>
      <c r="M81">
        <v>18855</v>
      </c>
    </row>
    <row r="82" spans="1:14">
      <c r="A82" t="s">
        <v>687</v>
      </c>
      <c r="B82" t="s">
        <v>23</v>
      </c>
      <c r="C82" t="s">
        <v>23</v>
      </c>
      <c r="D82" t="s">
        <v>23</v>
      </c>
      <c r="I82" t="s">
        <v>688</v>
      </c>
      <c r="J82">
        <v>-140</v>
      </c>
      <c r="K82">
        <v>-35</v>
      </c>
      <c r="L82">
        <v>-35</v>
      </c>
      <c r="M82">
        <v>-133</v>
      </c>
      <c r="N82">
        <v>-39</v>
      </c>
    </row>
    <row r="83" spans="1:14">
      <c r="A83" t="s">
        <v>675</v>
      </c>
      <c r="B83" t="s">
        <v>23</v>
      </c>
      <c r="C83" t="s">
        <v>23</v>
      </c>
      <c r="D83" t="s">
        <v>23</v>
      </c>
      <c r="I83" t="s">
        <v>689</v>
      </c>
      <c r="J83">
        <v>18040</v>
      </c>
      <c r="K83">
        <v>16116</v>
      </c>
      <c r="L83">
        <v>16116</v>
      </c>
      <c r="M83">
        <v>15351</v>
      </c>
      <c r="N83">
        <v>14088</v>
      </c>
    </row>
    <row r="84" spans="1:14">
      <c r="A84" t="s">
        <v>677</v>
      </c>
      <c r="B84">
        <v>15.45</v>
      </c>
      <c r="C84">
        <v>0</v>
      </c>
      <c r="D84">
        <v>0</v>
      </c>
      <c r="E84">
        <v>0</v>
      </c>
      <c r="F84">
        <v>0</v>
      </c>
      <c r="I84" t="s">
        <v>690</v>
      </c>
      <c r="J84" t="s">
        <v>23</v>
      </c>
      <c r="K84" t="s">
        <v>23</v>
      </c>
    </row>
    <row r="85" spans="1:14">
      <c r="A85" t="s">
        <v>678</v>
      </c>
      <c r="B85">
        <v>49</v>
      </c>
      <c r="C85">
        <v>0</v>
      </c>
      <c r="D85">
        <v>0</v>
      </c>
      <c r="E85">
        <v>0</v>
      </c>
      <c r="F85">
        <v>0</v>
      </c>
      <c r="I85" t="s">
        <v>691</v>
      </c>
      <c r="J85">
        <v>-155</v>
      </c>
      <c r="K85">
        <v>-169</v>
      </c>
      <c r="L85">
        <v>-169</v>
      </c>
      <c r="M85">
        <v>-49</v>
      </c>
      <c r="N85">
        <v>-196</v>
      </c>
    </row>
    <row r="86" spans="1:14">
      <c r="A86" t="s">
        <v>679</v>
      </c>
      <c r="B86">
        <v>15.43</v>
      </c>
      <c r="C86">
        <v>0</v>
      </c>
      <c r="D86">
        <v>0</v>
      </c>
      <c r="E86">
        <v>0</v>
      </c>
      <c r="F86">
        <v>0</v>
      </c>
      <c r="I86" t="s">
        <v>692</v>
      </c>
      <c r="J86">
        <v>-177</v>
      </c>
      <c r="K86">
        <v>418</v>
      </c>
      <c r="L86">
        <v>418</v>
      </c>
      <c r="M86">
        <v>-257</v>
      </c>
      <c r="N86">
        <v>-291</v>
      </c>
    </row>
    <row r="87" spans="1:14">
      <c r="A87" t="s">
        <v>680</v>
      </c>
      <c r="B87">
        <v>49</v>
      </c>
      <c r="C87">
        <v>0</v>
      </c>
      <c r="D87">
        <v>0</v>
      </c>
      <c r="E87">
        <v>0</v>
      </c>
      <c r="F87">
        <v>0</v>
      </c>
      <c r="I87" t="s">
        <v>693</v>
      </c>
      <c r="J87">
        <v>-921</v>
      </c>
      <c r="K87">
        <v>-2512</v>
      </c>
      <c r="L87">
        <v>-2512</v>
      </c>
      <c r="M87">
        <v>743</v>
      </c>
      <c r="N87">
        <v>838</v>
      </c>
    </row>
    <row r="88" spans="1:14">
      <c r="A88" t="s">
        <v>694</v>
      </c>
      <c r="B88" t="s">
        <v>23</v>
      </c>
      <c r="C88" t="s">
        <v>23</v>
      </c>
      <c r="D88" t="s">
        <v>23</v>
      </c>
      <c r="I88" t="s">
        <v>695</v>
      </c>
      <c r="J88">
        <v>-1317</v>
      </c>
      <c r="K88">
        <v>-2369</v>
      </c>
    </row>
    <row r="89" spans="1:14">
      <c r="A89" t="s">
        <v>675</v>
      </c>
      <c r="B89" t="s">
        <v>23</v>
      </c>
      <c r="C89" t="s">
        <v>23</v>
      </c>
      <c r="D89" t="s">
        <v>23</v>
      </c>
      <c r="I89" t="s">
        <v>696</v>
      </c>
      <c r="J89">
        <v>38733</v>
      </c>
      <c r="K89">
        <v>35581</v>
      </c>
      <c r="L89">
        <v>35581</v>
      </c>
      <c r="M89">
        <v>37589</v>
      </c>
      <c r="N89">
        <v>36210</v>
      </c>
    </row>
    <row r="90" spans="1:14">
      <c r="A90" t="s">
        <v>677</v>
      </c>
      <c r="B90">
        <v>38.97</v>
      </c>
      <c r="C90">
        <v>33.17</v>
      </c>
      <c r="D90">
        <v>28.03</v>
      </c>
      <c r="E90">
        <v>22.53</v>
      </c>
      <c r="F90">
        <v>19.579999999999998</v>
      </c>
      <c r="I90" t="s">
        <v>697</v>
      </c>
      <c r="J90">
        <v>90499</v>
      </c>
      <c r="K90">
        <v>85501</v>
      </c>
      <c r="L90">
        <v>85501</v>
      </c>
      <c r="M90">
        <v>82896</v>
      </c>
      <c r="N90">
        <v>80919</v>
      </c>
    </row>
    <row r="91" spans="1:14">
      <c r="A91" t="s">
        <v>678</v>
      </c>
      <c r="B91">
        <v>16</v>
      </c>
      <c r="C91">
        <v>10</v>
      </c>
      <c r="D91">
        <v>10</v>
      </c>
      <c r="E91">
        <v>10</v>
      </c>
      <c r="F91">
        <v>11</v>
      </c>
      <c r="I91" t="s">
        <v>698</v>
      </c>
      <c r="L91" t="s">
        <v>23</v>
      </c>
      <c r="M91" t="s">
        <v>23</v>
      </c>
    </row>
    <row r="92" spans="1:14">
      <c r="A92" t="s">
        <v>679</v>
      </c>
      <c r="B92">
        <v>38.92</v>
      </c>
      <c r="C92">
        <v>33.130000000000003</v>
      </c>
      <c r="D92">
        <v>28</v>
      </c>
      <c r="E92">
        <v>22.51</v>
      </c>
      <c r="F92">
        <v>19.559999999999999</v>
      </c>
      <c r="I92" t="s">
        <v>699</v>
      </c>
      <c r="L92">
        <v>-2369</v>
      </c>
      <c r="M92">
        <v>436</v>
      </c>
      <c r="N92">
        <v>354</v>
      </c>
    </row>
    <row r="93" spans="1:14">
      <c r="A93" t="s">
        <v>680</v>
      </c>
      <c r="B93">
        <v>16</v>
      </c>
      <c r="C93">
        <v>10</v>
      </c>
      <c r="D93">
        <v>10</v>
      </c>
      <c r="E93">
        <v>10</v>
      </c>
      <c r="F93">
        <v>11</v>
      </c>
      <c r="I93" t="s">
        <v>700</v>
      </c>
      <c r="N93" t="s">
        <v>65</v>
      </c>
    </row>
    <row r="94" spans="1:14">
      <c r="I94" t="s">
        <v>701</v>
      </c>
      <c r="N94">
        <v>16721</v>
      </c>
    </row>
    <row r="95" spans="1:14">
      <c r="I95" t="s">
        <v>702</v>
      </c>
    </row>
    <row r="96" spans="1:14">
      <c r="I96" t="s">
        <v>703</v>
      </c>
    </row>
    <row r="97" spans="1:14">
      <c r="I97" t="s">
        <v>704</v>
      </c>
    </row>
    <row r="98" spans="1:14">
      <c r="I98" t="s">
        <v>705</v>
      </c>
    </row>
    <row r="99" spans="1:14">
      <c r="I99" t="s">
        <v>706</v>
      </c>
      <c r="N99">
        <v>0</v>
      </c>
    </row>
    <row r="100" spans="1:14">
      <c r="A100" s="167" t="s">
        <v>642</v>
      </c>
      <c r="I100" t="s">
        <v>707</v>
      </c>
    </row>
    <row r="101" spans="1:14">
      <c r="I101" t="s">
        <v>694</v>
      </c>
    </row>
    <row r="102" spans="1:14">
      <c r="I102" t="s">
        <v>602</v>
      </c>
      <c r="J102">
        <v>0</v>
      </c>
      <c r="K102">
        <v>0</v>
      </c>
      <c r="L102">
        <v>0</v>
      </c>
    </row>
    <row r="103" spans="1:14">
      <c r="I103" t="s">
        <v>685</v>
      </c>
      <c r="J103" t="s">
        <v>23</v>
      </c>
      <c r="K103" t="s">
        <v>23</v>
      </c>
      <c r="M103">
        <v>1523</v>
      </c>
      <c r="N103">
        <v>1543</v>
      </c>
    </row>
    <row r="104" spans="1:14">
      <c r="I104" t="s">
        <v>705</v>
      </c>
      <c r="J104" t="s">
        <v>23</v>
      </c>
      <c r="K104" t="s">
        <v>23</v>
      </c>
    </row>
    <row r="105" spans="1:14">
      <c r="I105" t="s">
        <v>602</v>
      </c>
      <c r="J105">
        <v>0</v>
      </c>
      <c r="K105">
        <v>0</v>
      </c>
      <c r="L105">
        <v>0</v>
      </c>
    </row>
    <row r="106" spans="1:14">
      <c r="I106" t="s">
        <v>706</v>
      </c>
      <c r="M106">
        <v>0</v>
      </c>
      <c r="N106">
        <v>0</v>
      </c>
    </row>
    <row r="107" spans="1:14">
      <c r="I107" t="s">
        <v>707</v>
      </c>
    </row>
    <row r="108" spans="1:14">
      <c r="I108" t="s">
        <v>602</v>
      </c>
    </row>
    <row r="109" spans="1:14">
      <c r="I109" t="s">
        <v>706</v>
      </c>
      <c r="M109">
        <v>0</v>
      </c>
      <c r="N109">
        <v>0</v>
      </c>
    </row>
    <row r="110" spans="1:14">
      <c r="I110" t="s">
        <v>694</v>
      </c>
    </row>
    <row r="111" spans="1:14">
      <c r="I111" t="s">
        <v>602</v>
      </c>
    </row>
    <row r="112" spans="1:14">
      <c r="I112" t="s">
        <v>706</v>
      </c>
      <c r="M112">
        <v>0</v>
      </c>
      <c r="N112">
        <v>0</v>
      </c>
    </row>
    <row r="113" spans="1:14">
      <c r="I113" s="167" t="s">
        <v>642</v>
      </c>
    </row>
    <row r="114" spans="1:14">
      <c r="A114" t="s">
        <v>708</v>
      </c>
      <c r="I114" t="s">
        <v>709</v>
      </c>
      <c r="K114" t="s">
        <v>645</v>
      </c>
    </row>
    <row r="115" spans="1:14">
      <c r="A115" t="s">
        <v>710</v>
      </c>
      <c r="B115" t="s">
        <v>645</v>
      </c>
      <c r="I115" t="s">
        <v>711</v>
      </c>
      <c r="J115" t="s">
        <v>641</v>
      </c>
      <c r="K115" t="s">
        <v>640</v>
      </c>
      <c r="L115" t="s">
        <v>639</v>
      </c>
      <c r="M115" t="s">
        <v>638</v>
      </c>
      <c r="N115" t="s">
        <v>637</v>
      </c>
    </row>
    <row r="116" spans="1:14">
      <c r="B116" t="s">
        <v>641</v>
      </c>
      <c r="C116" t="s">
        <v>640</v>
      </c>
      <c r="D116" t="s">
        <v>639</v>
      </c>
      <c r="E116" t="s">
        <v>638</v>
      </c>
      <c r="F116" t="s">
        <v>637</v>
      </c>
      <c r="I116" t="s">
        <v>26</v>
      </c>
      <c r="J116" t="s">
        <v>23</v>
      </c>
      <c r="K116" t="s">
        <v>23</v>
      </c>
      <c r="L116" t="s">
        <v>23</v>
      </c>
      <c r="M116" t="s">
        <v>23</v>
      </c>
    </row>
    <row r="117" spans="1:14">
      <c r="A117" t="s">
        <v>712</v>
      </c>
      <c r="B117" t="s">
        <v>23</v>
      </c>
      <c r="C117" t="s">
        <v>23</v>
      </c>
      <c r="D117" t="s">
        <v>23</v>
      </c>
      <c r="E117" t="s">
        <v>23</v>
      </c>
      <c r="F117" t="s">
        <v>23</v>
      </c>
      <c r="I117" t="s">
        <v>713</v>
      </c>
      <c r="J117">
        <v>3413</v>
      </c>
      <c r="K117">
        <v>7118</v>
      </c>
      <c r="L117">
        <v>5510</v>
      </c>
      <c r="M117">
        <v>1292</v>
      </c>
      <c r="N117">
        <v>2984</v>
      </c>
    </row>
    <row r="118" spans="1:14">
      <c r="A118" t="s">
        <v>714</v>
      </c>
      <c r="B118">
        <v>50406</v>
      </c>
      <c r="C118">
        <v>47381</v>
      </c>
      <c r="D118">
        <v>42967</v>
      </c>
      <c r="E118">
        <v>34630</v>
      </c>
      <c r="F118">
        <v>28102</v>
      </c>
      <c r="I118" t="s">
        <v>715</v>
      </c>
      <c r="J118">
        <v>37006</v>
      </c>
      <c r="K118">
        <v>39312</v>
      </c>
      <c r="L118">
        <v>28097</v>
      </c>
      <c r="M118">
        <v>20548</v>
      </c>
      <c r="N118">
        <v>29824</v>
      </c>
    </row>
    <row r="119" spans="1:14">
      <c r="A119" t="s">
        <v>716</v>
      </c>
      <c r="B119" t="s">
        <v>23</v>
      </c>
      <c r="C119" t="s">
        <v>23</v>
      </c>
      <c r="D119" t="s">
        <v>23</v>
      </c>
      <c r="E119" t="s">
        <v>23</v>
      </c>
      <c r="F119" t="s">
        <v>23</v>
      </c>
      <c r="I119" t="s">
        <v>717</v>
      </c>
      <c r="J119">
        <v>221</v>
      </c>
      <c r="K119">
        <v>166</v>
      </c>
      <c r="L119">
        <v>307</v>
      </c>
      <c r="M119">
        <v>188</v>
      </c>
      <c r="N119">
        <v>157</v>
      </c>
    </row>
    <row r="120" spans="1:14">
      <c r="A120" t="s">
        <v>718</v>
      </c>
      <c r="B120">
        <v>21095</v>
      </c>
      <c r="C120">
        <v>17697</v>
      </c>
      <c r="D120">
        <v>11967</v>
      </c>
      <c r="E120">
        <v>8850</v>
      </c>
      <c r="F120">
        <v>9779</v>
      </c>
      <c r="I120" t="s">
        <v>719</v>
      </c>
      <c r="J120">
        <v>40640</v>
      </c>
      <c r="K120">
        <v>46596</v>
      </c>
      <c r="L120">
        <v>33914</v>
      </c>
      <c r="M120">
        <v>22028</v>
      </c>
      <c r="N120">
        <v>32965</v>
      </c>
    </row>
    <row r="121" spans="1:14">
      <c r="A121" t="s">
        <v>720</v>
      </c>
      <c r="B121">
        <v>86</v>
      </c>
      <c r="C121">
        <v>128</v>
      </c>
      <c r="D121">
        <v>96</v>
      </c>
      <c r="E121">
        <v>83</v>
      </c>
      <c r="F121">
        <v>127</v>
      </c>
      <c r="I121" t="s">
        <v>654</v>
      </c>
      <c r="J121">
        <v>1240</v>
      </c>
      <c r="K121">
        <v>2186</v>
      </c>
      <c r="L121">
        <v>4578</v>
      </c>
      <c r="M121">
        <v>2591</v>
      </c>
      <c r="N121">
        <v>21631</v>
      </c>
    </row>
    <row r="122" spans="1:14">
      <c r="A122" t="s">
        <v>721</v>
      </c>
      <c r="B122">
        <v>2614</v>
      </c>
      <c r="C122">
        <v>2158</v>
      </c>
      <c r="D122">
        <v>595</v>
      </c>
      <c r="E122">
        <v>100</v>
      </c>
      <c r="F122">
        <v>177</v>
      </c>
      <c r="I122" t="s">
        <v>722</v>
      </c>
      <c r="J122">
        <v>5371</v>
      </c>
      <c r="K122">
        <v>5138</v>
      </c>
      <c r="L122">
        <v>5215</v>
      </c>
      <c r="M122">
        <v>4988</v>
      </c>
      <c r="N122">
        <v>5015</v>
      </c>
    </row>
    <row r="123" spans="1:14">
      <c r="A123" t="s">
        <v>723</v>
      </c>
      <c r="B123">
        <v>23795</v>
      </c>
      <c r="C123">
        <v>19983</v>
      </c>
      <c r="D123">
        <v>12658</v>
      </c>
      <c r="E123">
        <v>9033</v>
      </c>
      <c r="F123">
        <v>10083</v>
      </c>
      <c r="I123" t="s">
        <v>724</v>
      </c>
      <c r="J123">
        <v>21179</v>
      </c>
      <c r="K123">
        <v>19114</v>
      </c>
      <c r="L123">
        <v>17689</v>
      </c>
      <c r="M123">
        <v>17244</v>
      </c>
      <c r="N123">
        <v>17679</v>
      </c>
    </row>
    <row r="124" spans="1:14">
      <c r="A124" t="s">
        <v>13</v>
      </c>
      <c r="B124" t="s">
        <v>23</v>
      </c>
      <c r="C124" t="s">
        <v>23</v>
      </c>
      <c r="D124" t="s">
        <v>23</v>
      </c>
      <c r="E124" t="s">
        <v>23</v>
      </c>
      <c r="F124" t="s">
        <v>23</v>
      </c>
      <c r="I124" t="s">
        <v>668</v>
      </c>
      <c r="J124">
        <v>271461</v>
      </c>
      <c r="K124">
        <v>261108</v>
      </c>
      <c r="L124">
        <v>228354</v>
      </c>
      <c r="M124">
        <v>188548</v>
      </c>
      <c r="N124">
        <v>191367</v>
      </c>
    </row>
    <row r="125" spans="1:14">
      <c r="A125" t="s">
        <v>725</v>
      </c>
      <c r="B125">
        <v>5695</v>
      </c>
      <c r="C125">
        <v>4865</v>
      </c>
      <c r="D125">
        <v>1527</v>
      </c>
      <c r="E125">
        <v>458</v>
      </c>
      <c r="F125">
        <v>943</v>
      </c>
      <c r="I125" t="s">
        <v>186</v>
      </c>
      <c r="J125" t="s">
        <v>23</v>
      </c>
      <c r="K125" t="s">
        <v>23</v>
      </c>
      <c r="L125" t="s">
        <v>23</v>
      </c>
      <c r="M125" t="s">
        <v>23</v>
      </c>
    </row>
    <row r="126" spans="1:14">
      <c r="A126" t="s">
        <v>726</v>
      </c>
      <c r="B126">
        <v>2557</v>
      </c>
      <c r="C126">
        <v>1984</v>
      </c>
      <c r="D126">
        <v>1236</v>
      </c>
      <c r="E126">
        <v>825</v>
      </c>
      <c r="F126">
        <v>1155</v>
      </c>
      <c r="I126" t="s">
        <v>727</v>
      </c>
      <c r="J126">
        <v>139413</v>
      </c>
      <c r="K126">
        <v>129144</v>
      </c>
      <c r="L126">
        <v>110239</v>
      </c>
      <c r="M126">
        <v>84382</v>
      </c>
      <c r="N126">
        <v>86875</v>
      </c>
    </row>
    <row r="127" spans="1:14">
      <c r="A127" t="s">
        <v>728</v>
      </c>
      <c r="B127">
        <v>8252</v>
      </c>
      <c r="C127">
        <v>6849</v>
      </c>
      <c r="D127">
        <v>2763</v>
      </c>
      <c r="E127">
        <v>1283</v>
      </c>
      <c r="F127">
        <v>2098</v>
      </c>
      <c r="I127" t="s">
        <v>41</v>
      </c>
      <c r="J127">
        <v>13884</v>
      </c>
      <c r="K127">
        <v>13109</v>
      </c>
      <c r="L127">
        <v>12133</v>
      </c>
      <c r="M127">
        <v>10574</v>
      </c>
      <c r="N127">
        <v>9444</v>
      </c>
    </row>
    <row r="128" spans="1:14">
      <c r="A128" t="s">
        <v>729</v>
      </c>
      <c r="B128">
        <v>15543</v>
      </c>
      <c r="C128">
        <v>13134</v>
      </c>
      <c r="D128">
        <v>9895</v>
      </c>
      <c r="E128">
        <v>7750</v>
      </c>
      <c r="F128">
        <v>7985</v>
      </c>
      <c r="I128" t="s">
        <v>730</v>
      </c>
      <c r="J128">
        <v>1374</v>
      </c>
      <c r="K128">
        <v>1293</v>
      </c>
      <c r="L128">
        <v>1348</v>
      </c>
      <c r="M128">
        <v>2243</v>
      </c>
      <c r="N128">
        <v>1878</v>
      </c>
    </row>
    <row r="129" spans="1:14">
      <c r="A129" t="s">
        <v>731</v>
      </c>
      <c r="B129">
        <v>65949</v>
      </c>
      <c r="C129">
        <v>60515</v>
      </c>
      <c r="D129">
        <v>52862</v>
      </c>
      <c r="E129">
        <v>42380</v>
      </c>
      <c r="F129">
        <v>36087</v>
      </c>
      <c r="I129" t="s">
        <v>732</v>
      </c>
      <c r="J129">
        <v>49715</v>
      </c>
      <c r="K129">
        <v>47866</v>
      </c>
      <c r="L129">
        <v>42573</v>
      </c>
      <c r="M129">
        <v>38675</v>
      </c>
      <c r="N129">
        <v>42952</v>
      </c>
    </row>
    <row r="130" spans="1:14">
      <c r="A130" t="s">
        <v>733</v>
      </c>
      <c r="B130" t="s">
        <v>23</v>
      </c>
      <c r="C130" t="s">
        <v>23</v>
      </c>
      <c r="D130" t="s">
        <v>23</v>
      </c>
      <c r="E130" t="s">
        <v>23</v>
      </c>
      <c r="F130" t="s">
        <v>23</v>
      </c>
      <c r="I130" t="s">
        <v>49</v>
      </c>
      <c r="J130">
        <v>36811</v>
      </c>
      <c r="K130">
        <v>41639</v>
      </c>
      <c r="L130">
        <v>37350</v>
      </c>
      <c r="M130">
        <v>30497</v>
      </c>
      <c r="N130">
        <v>27234</v>
      </c>
    </row>
    <row r="131" spans="1:14">
      <c r="A131" t="s">
        <v>733</v>
      </c>
      <c r="B131">
        <v>5185</v>
      </c>
      <c r="C131">
        <v>4923</v>
      </c>
      <c r="D131">
        <v>2182</v>
      </c>
      <c r="E131">
        <v>-1419</v>
      </c>
      <c r="F131">
        <v>4730</v>
      </c>
      <c r="I131" t="s">
        <v>683</v>
      </c>
      <c r="J131">
        <v>241197</v>
      </c>
      <c r="K131">
        <v>233051</v>
      </c>
      <c r="L131">
        <v>203643</v>
      </c>
      <c r="M131">
        <v>166371</v>
      </c>
      <c r="N131">
        <v>168383</v>
      </c>
    </row>
    <row r="132" spans="1:14">
      <c r="A132" t="s">
        <v>734</v>
      </c>
      <c r="B132">
        <v>60764</v>
      </c>
      <c r="C132">
        <v>55592</v>
      </c>
      <c r="D132">
        <v>50680</v>
      </c>
      <c r="E132">
        <v>43799</v>
      </c>
      <c r="F132">
        <v>31357</v>
      </c>
      <c r="I132" t="s">
        <v>735</v>
      </c>
      <c r="J132" t="s">
        <v>65</v>
      </c>
      <c r="K132" t="s">
        <v>65</v>
      </c>
      <c r="L132" t="s">
        <v>65</v>
      </c>
      <c r="M132" t="s">
        <v>65</v>
      </c>
      <c r="N132" t="s">
        <v>65</v>
      </c>
    </row>
    <row r="133" spans="1:14">
      <c r="A133" t="s">
        <v>736</v>
      </c>
      <c r="B133" t="s">
        <v>23</v>
      </c>
      <c r="C133" t="s">
        <v>23</v>
      </c>
      <c r="D133" t="s">
        <v>23</v>
      </c>
      <c r="E133" t="s">
        <v>23</v>
      </c>
      <c r="F133" t="s">
        <v>23</v>
      </c>
      <c r="I133" t="s">
        <v>737</v>
      </c>
      <c r="J133" t="s">
        <v>23</v>
      </c>
      <c r="K133" t="s">
        <v>23</v>
      </c>
      <c r="L133" t="s">
        <v>23</v>
      </c>
      <c r="M133" t="s">
        <v>23</v>
      </c>
    </row>
    <row r="134" spans="1:14">
      <c r="A134" t="s">
        <v>738</v>
      </c>
      <c r="B134">
        <v>16599</v>
      </c>
      <c r="C134">
        <v>15367</v>
      </c>
      <c r="D134">
        <v>14002</v>
      </c>
      <c r="E134">
        <v>11007</v>
      </c>
      <c r="F134">
        <v>8041</v>
      </c>
      <c r="I134" t="s">
        <v>739</v>
      </c>
      <c r="J134">
        <v>0</v>
      </c>
      <c r="K134">
        <v>0</v>
      </c>
      <c r="L134">
        <v>0</v>
      </c>
      <c r="M134">
        <v>0</v>
      </c>
      <c r="N134">
        <v>0</v>
      </c>
    </row>
    <row r="135" spans="1:14">
      <c r="A135" t="s">
        <v>740</v>
      </c>
      <c r="B135">
        <v>5886</v>
      </c>
      <c r="C135">
        <v>5657</v>
      </c>
      <c r="D135">
        <v>4943</v>
      </c>
      <c r="E135">
        <v>3762</v>
      </c>
      <c r="F135">
        <v>3051</v>
      </c>
      <c r="I135" t="s">
        <v>741</v>
      </c>
      <c r="J135">
        <v>141</v>
      </c>
      <c r="K135">
        <v>145</v>
      </c>
      <c r="L135">
        <v>149</v>
      </c>
      <c r="M135">
        <v>153</v>
      </c>
      <c r="N135">
        <v>161</v>
      </c>
    </row>
    <row r="136" spans="1:14">
      <c r="A136" t="s">
        <v>742</v>
      </c>
      <c r="B136">
        <v>4782</v>
      </c>
      <c r="C136">
        <v>3968</v>
      </c>
      <c r="D136">
        <v>2959</v>
      </c>
      <c r="E136">
        <v>1993</v>
      </c>
      <c r="F136">
        <v>1230</v>
      </c>
      <c r="I136" t="s">
        <v>701</v>
      </c>
      <c r="J136">
        <v>11370</v>
      </c>
      <c r="K136">
        <v>11372</v>
      </c>
      <c r="L136">
        <v>11493</v>
      </c>
      <c r="M136">
        <v>11495</v>
      </c>
      <c r="N136">
        <v>11881</v>
      </c>
    </row>
    <row r="137" spans="1:14">
      <c r="A137" t="s">
        <v>657</v>
      </c>
      <c r="B137">
        <v>6040</v>
      </c>
      <c r="C137">
        <v>5213</v>
      </c>
      <c r="D137">
        <v>5458</v>
      </c>
      <c r="E137">
        <v>5291</v>
      </c>
      <c r="F137">
        <v>3696</v>
      </c>
      <c r="I137" t="s">
        <v>56</v>
      </c>
      <c r="J137">
        <v>22148</v>
      </c>
      <c r="K137">
        <v>19612</v>
      </c>
      <c r="L137">
        <v>16279</v>
      </c>
      <c r="M137">
        <v>13474</v>
      </c>
      <c r="N137">
        <v>13837</v>
      </c>
    </row>
    <row r="138" spans="1:14">
      <c r="A138" t="s">
        <v>743</v>
      </c>
      <c r="B138">
        <v>8198</v>
      </c>
      <c r="C138">
        <v>8067</v>
      </c>
      <c r="D138">
        <v>7252</v>
      </c>
      <c r="E138">
        <v>6240</v>
      </c>
      <c r="F138">
        <v>5718</v>
      </c>
      <c r="I138" t="s">
        <v>57</v>
      </c>
      <c r="J138">
        <v>-3395</v>
      </c>
      <c r="K138">
        <v>-3072</v>
      </c>
      <c r="L138">
        <v>-3210</v>
      </c>
      <c r="M138">
        <v>-2945</v>
      </c>
      <c r="N138">
        <v>-2229</v>
      </c>
    </row>
    <row r="139" spans="1:14">
      <c r="A139" t="s">
        <v>744</v>
      </c>
      <c r="B139">
        <v>6364</v>
      </c>
      <c r="C139">
        <v>6807</v>
      </c>
      <c r="D139">
        <v>6481</v>
      </c>
      <c r="E139">
        <v>4817</v>
      </c>
      <c r="F139">
        <v>5325</v>
      </c>
      <c r="I139" t="s">
        <v>745</v>
      </c>
      <c r="J139">
        <v>30264</v>
      </c>
      <c r="K139">
        <v>28057</v>
      </c>
      <c r="L139">
        <v>24711</v>
      </c>
      <c r="M139">
        <v>22177</v>
      </c>
      <c r="N139">
        <v>22984</v>
      </c>
    </row>
    <row r="140" spans="1:14">
      <c r="A140" t="s">
        <v>746</v>
      </c>
      <c r="B140">
        <v>47869</v>
      </c>
      <c r="C140">
        <v>45079</v>
      </c>
      <c r="D140">
        <v>41095</v>
      </c>
      <c r="E140">
        <v>33110</v>
      </c>
      <c r="F140">
        <v>27061</v>
      </c>
      <c r="I140" t="s">
        <v>747</v>
      </c>
      <c r="J140">
        <v>271461</v>
      </c>
      <c r="K140">
        <v>261108</v>
      </c>
      <c r="L140">
        <v>228354</v>
      </c>
      <c r="M140">
        <v>188548</v>
      </c>
      <c r="N140">
        <v>191367</v>
      </c>
    </row>
    <row r="141" spans="1:14">
      <c r="A141" t="s">
        <v>748</v>
      </c>
      <c r="B141">
        <v>12895</v>
      </c>
      <c r="C141">
        <v>10513</v>
      </c>
      <c r="D141">
        <v>9585</v>
      </c>
      <c r="E141">
        <v>10689</v>
      </c>
      <c r="F141">
        <v>4296</v>
      </c>
      <c r="I141" t="s">
        <v>749</v>
      </c>
      <c r="J141" t="s">
        <v>23</v>
      </c>
      <c r="K141" t="s">
        <v>23</v>
      </c>
      <c r="L141" t="s">
        <v>23</v>
      </c>
      <c r="M141" t="s">
        <v>23</v>
      </c>
    </row>
    <row r="142" spans="1:14">
      <c r="A142" t="s">
        <v>670</v>
      </c>
      <c r="B142">
        <v>2766</v>
      </c>
      <c r="C142">
        <v>2139</v>
      </c>
      <c r="D142">
        <v>2071</v>
      </c>
      <c r="E142">
        <v>2629</v>
      </c>
      <c r="F142">
        <v>1161</v>
      </c>
      <c r="I142" t="s">
        <v>26</v>
      </c>
      <c r="J142" t="s">
        <v>23</v>
      </c>
      <c r="K142" t="s">
        <v>23</v>
      </c>
      <c r="L142" t="s">
        <v>23</v>
      </c>
      <c r="M142" t="s">
        <v>23</v>
      </c>
    </row>
    <row r="143" spans="1:14">
      <c r="A143" t="s">
        <v>68</v>
      </c>
      <c r="B143">
        <v>10129</v>
      </c>
      <c r="C143">
        <v>8374</v>
      </c>
      <c r="D143">
        <v>7514</v>
      </c>
      <c r="E143">
        <v>8060</v>
      </c>
      <c r="F143">
        <v>3135</v>
      </c>
      <c r="I143" t="s">
        <v>750</v>
      </c>
      <c r="J143">
        <v>59240</v>
      </c>
      <c r="K143">
        <v>60237</v>
      </c>
      <c r="L143">
        <v>57384</v>
      </c>
      <c r="M143">
        <v>53581</v>
      </c>
      <c r="N143">
        <v>43434</v>
      </c>
    </row>
    <row r="144" spans="1:14">
      <c r="A144" t="s">
        <v>751</v>
      </c>
      <c r="B144" t="s">
        <v>23</v>
      </c>
      <c r="C144" t="s">
        <v>23</v>
      </c>
      <c r="D144" t="s">
        <v>23</v>
      </c>
      <c r="E144" t="s">
        <v>23</v>
      </c>
      <c r="F144" t="s">
        <v>23</v>
      </c>
      <c r="I144" t="s">
        <v>752</v>
      </c>
      <c r="J144" t="s">
        <v>23</v>
      </c>
      <c r="K144" t="s">
        <v>23</v>
      </c>
      <c r="L144" t="s">
        <v>23</v>
      </c>
      <c r="M144" t="s">
        <v>23</v>
      </c>
    </row>
    <row r="145" spans="1:14">
      <c r="A145" t="s">
        <v>753</v>
      </c>
      <c r="B145">
        <v>14.04</v>
      </c>
      <c r="C145">
        <v>11.23</v>
      </c>
      <c r="D145">
        <v>9.86</v>
      </c>
      <c r="E145">
        <v>10.039999999999999</v>
      </c>
      <c r="F145">
        <v>3.77</v>
      </c>
      <c r="I145" t="s">
        <v>26</v>
      </c>
      <c r="J145" t="s">
        <v>23</v>
      </c>
      <c r="K145" t="s">
        <v>23</v>
      </c>
      <c r="L145" t="s">
        <v>23</v>
      </c>
      <c r="M145" t="s">
        <v>23</v>
      </c>
    </row>
    <row r="146" spans="1:14">
      <c r="A146" t="s">
        <v>754</v>
      </c>
      <c r="B146">
        <v>14.01</v>
      </c>
      <c r="C146">
        <v>11.21</v>
      </c>
      <c r="D146">
        <v>9.85</v>
      </c>
      <c r="E146">
        <v>10.02</v>
      </c>
      <c r="F146">
        <v>3.77</v>
      </c>
      <c r="I146" t="s">
        <v>750</v>
      </c>
      <c r="J146">
        <v>133995</v>
      </c>
      <c r="K146">
        <v>120877</v>
      </c>
      <c r="L146">
        <v>104217</v>
      </c>
      <c r="M146">
        <v>85257</v>
      </c>
      <c r="N146">
        <v>68029</v>
      </c>
    </row>
    <row r="147" spans="1:14">
      <c r="A147" t="s">
        <v>755</v>
      </c>
      <c r="B147" t="s">
        <v>23</v>
      </c>
      <c r="C147" t="s">
        <v>23</v>
      </c>
      <c r="D147" t="s">
        <v>23</v>
      </c>
      <c r="E147" t="s">
        <v>23</v>
      </c>
      <c r="F147" t="s">
        <v>23</v>
      </c>
      <c r="I147" t="s">
        <v>756</v>
      </c>
      <c r="J147">
        <v>758</v>
      </c>
      <c r="K147">
        <v>0</v>
      </c>
      <c r="L147" t="s">
        <v>23</v>
      </c>
      <c r="M147" t="s">
        <v>23</v>
      </c>
    </row>
    <row r="148" spans="1:14">
      <c r="A148" t="s">
        <v>757</v>
      </c>
      <c r="B148">
        <v>712</v>
      </c>
      <c r="C148">
        <v>735</v>
      </c>
      <c r="D148">
        <v>751</v>
      </c>
      <c r="E148">
        <v>789</v>
      </c>
      <c r="F148">
        <v>805</v>
      </c>
      <c r="I148" t="s">
        <v>758</v>
      </c>
      <c r="J148" t="s">
        <v>23</v>
      </c>
      <c r="K148" t="s">
        <v>23</v>
      </c>
      <c r="L148" t="s">
        <v>23</v>
      </c>
      <c r="M148" t="s">
        <v>23</v>
      </c>
    </row>
    <row r="149" spans="1:14">
      <c r="A149" t="s">
        <v>759</v>
      </c>
      <c r="B149">
        <v>713</v>
      </c>
      <c r="C149">
        <v>736</v>
      </c>
      <c r="D149">
        <v>752</v>
      </c>
      <c r="E149">
        <v>790</v>
      </c>
      <c r="F149">
        <v>806</v>
      </c>
      <c r="I149" t="s">
        <v>26</v>
      </c>
      <c r="J149" t="s">
        <v>23</v>
      </c>
      <c r="K149" t="s">
        <v>23</v>
      </c>
    </row>
    <row r="150" spans="1:14">
      <c r="A150" t="s">
        <v>749</v>
      </c>
      <c r="B150" t="s">
        <v>23</v>
      </c>
      <c r="C150" t="s">
        <v>23</v>
      </c>
      <c r="D150" t="s">
        <v>23</v>
      </c>
      <c r="E150" t="s">
        <v>23</v>
      </c>
      <c r="F150" t="s">
        <v>23</v>
      </c>
      <c r="I150" t="s">
        <v>750</v>
      </c>
      <c r="J150">
        <v>9038</v>
      </c>
      <c r="K150">
        <v>6960</v>
      </c>
      <c r="L150">
        <v>5357</v>
      </c>
      <c r="M150">
        <v>2859</v>
      </c>
      <c r="N150">
        <v>2614</v>
      </c>
    </row>
    <row r="151" spans="1:14">
      <c r="A151" t="s">
        <v>733</v>
      </c>
      <c r="B151" t="s">
        <v>23</v>
      </c>
      <c r="C151" t="s">
        <v>23</v>
      </c>
      <c r="D151" t="s">
        <v>23</v>
      </c>
      <c r="E151" t="s">
        <v>23</v>
      </c>
      <c r="F151" t="s">
        <v>23</v>
      </c>
    </row>
    <row r="152" spans="1:14">
      <c r="A152" t="s">
        <v>733</v>
      </c>
      <c r="B152">
        <v>774</v>
      </c>
      <c r="C152">
        <v>880</v>
      </c>
      <c r="D152">
        <v>627</v>
      </c>
      <c r="E152">
        <v>-73</v>
      </c>
      <c r="F152">
        <v>1015</v>
      </c>
    </row>
    <row r="153" spans="1:14">
      <c r="A153" t="s">
        <v>752</v>
      </c>
      <c r="B153" t="s">
        <v>23</v>
      </c>
      <c r="C153" t="s">
        <v>23</v>
      </c>
      <c r="D153" t="s">
        <v>23</v>
      </c>
      <c r="E153" t="s">
        <v>23</v>
      </c>
      <c r="F153" t="s">
        <v>23</v>
      </c>
    </row>
    <row r="154" spans="1:14">
      <c r="A154" t="s">
        <v>733</v>
      </c>
      <c r="B154" t="s">
        <v>23</v>
      </c>
      <c r="C154" t="s">
        <v>23</v>
      </c>
      <c r="D154" t="s">
        <v>23</v>
      </c>
      <c r="E154" t="s">
        <v>23</v>
      </c>
      <c r="F154" t="s">
        <v>23</v>
      </c>
    </row>
    <row r="155" spans="1:14">
      <c r="A155" t="s">
        <v>733</v>
      </c>
      <c r="B155">
        <v>4109</v>
      </c>
      <c r="C155">
        <v>3839</v>
      </c>
      <c r="D155">
        <v>1514</v>
      </c>
      <c r="E155">
        <v>-1155</v>
      </c>
      <c r="F155">
        <v>3453</v>
      </c>
    </row>
    <row r="156" spans="1:14">
      <c r="A156" t="s">
        <v>73</v>
      </c>
      <c r="B156" t="s">
        <v>23</v>
      </c>
      <c r="C156" t="s">
        <v>23</v>
      </c>
      <c r="D156" t="s">
        <v>23</v>
      </c>
      <c r="E156" t="s">
        <v>23</v>
      </c>
      <c r="F156" t="s">
        <v>23</v>
      </c>
      <c r="I156" s="167" t="s">
        <v>642</v>
      </c>
    </row>
    <row r="157" spans="1:14">
      <c r="A157" t="s">
        <v>733</v>
      </c>
      <c r="B157" t="s">
        <v>23</v>
      </c>
      <c r="C157" t="s">
        <v>23</v>
      </c>
      <c r="D157" t="s">
        <v>23</v>
      </c>
      <c r="E157" t="s">
        <v>23</v>
      </c>
      <c r="F157" t="s">
        <v>23</v>
      </c>
    </row>
    <row r="158" spans="1:14">
      <c r="A158" t="s">
        <v>733</v>
      </c>
      <c r="B158">
        <v>302</v>
      </c>
      <c r="C158">
        <v>204</v>
      </c>
      <c r="D158">
        <v>41</v>
      </c>
      <c r="E158">
        <v>-191</v>
      </c>
      <c r="F158">
        <v>262</v>
      </c>
    </row>
    <row r="159" spans="1:14">
      <c r="A159" t="s">
        <v>760</v>
      </c>
      <c r="B159" t="s">
        <v>23</v>
      </c>
      <c r="C159" t="s">
        <v>23</v>
      </c>
      <c r="D159" t="s">
        <v>23</v>
      </c>
      <c r="E159" t="s">
        <v>23</v>
      </c>
      <c r="F159" t="s">
        <v>23</v>
      </c>
    </row>
    <row r="160" spans="1:14">
      <c r="A160" t="s">
        <v>712</v>
      </c>
      <c r="B160" t="s">
        <v>23</v>
      </c>
      <c r="C160" t="s">
        <v>23</v>
      </c>
      <c r="D160" t="s">
        <v>23</v>
      </c>
      <c r="E160" t="s">
        <v>23</v>
      </c>
      <c r="F160" t="s">
        <v>23</v>
      </c>
    </row>
    <row r="161" spans="1:14">
      <c r="A161" t="s">
        <v>714</v>
      </c>
      <c r="B161">
        <v>35192</v>
      </c>
      <c r="C161">
        <v>33416</v>
      </c>
      <c r="D161">
        <v>30739</v>
      </c>
      <c r="E161">
        <v>24563</v>
      </c>
      <c r="F161">
        <v>19435</v>
      </c>
    </row>
    <row r="162" spans="1:14">
      <c r="A162" t="s">
        <v>761</v>
      </c>
      <c r="B162" t="s">
        <v>23</v>
      </c>
      <c r="C162" t="s">
        <v>23</v>
      </c>
      <c r="D162" t="s">
        <v>23</v>
      </c>
      <c r="E162" t="s">
        <v>23</v>
      </c>
      <c r="F162" t="s">
        <v>23</v>
      </c>
    </row>
    <row r="163" spans="1:14">
      <c r="A163" t="s">
        <v>712</v>
      </c>
      <c r="B163" t="s">
        <v>23</v>
      </c>
      <c r="C163" t="s">
        <v>23</v>
      </c>
      <c r="D163" t="s">
        <v>23</v>
      </c>
      <c r="E163" t="s">
        <v>23</v>
      </c>
      <c r="F163" t="s">
        <v>23</v>
      </c>
    </row>
    <row r="164" spans="1:14">
      <c r="A164" t="s">
        <v>714</v>
      </c>
      <c r="B164">
        <v>8449</v>
      </c>
      <c r="C164">
        <v>7255</v>
      </c>
      <c r="D164">
        <v>6070</v>
      </c>
      <c r="E164">
        <v>5195</v>
      </c>
      <c r="F164">
        <v>4664</v>
      </c>
    </row>
    <row r="165" spans="1:14">
      <c r="A165" t="s">
        <v>762</v>
      </c>
      <c r="B165" t="s">
        <v>23</v>
      </c>
      <c r="C165" t="s">
        <v>23</v>
      </c>
      <c r="D165" t="s">
        <v>23</v>
      </c>
      <c r="E165" t="s">
        <v>23</v>
      </c>
      <c r="F165" t="s">
        <v>23</v>
      </c>
    </row>
    <row r="166" spans="1:14">
      <c r="A166" t="s">
        <v>712</v>
      </c>
      <c r="B166" t="s">
        <v>23</v>
      </c>
      <c r="C166" t="s">
        <v>23</v>
      </c>
      <c r="D166" t="s">
        <v>23</v>
      </c>
      <c r="E166" t="s">
        <v>23</v>
      </c>
      <c r="F166" t="s">
        <v>23</v>
      </c>
    </row>
    <row r="167" spans="1:14">
      <c r="A167" t="s">
        <v>714</v>
      </c>
      <c r="B167">
        <v>5129</v>
      </c>
      <c r="C167">
        <v>5005</v>
      </c>
      <c r="D167">
        <v>4521</v>
      </c>
      <c r="E167">
        <v>3316</v>
      </c>
      <c r="F167">
        <v>2702</v>
      </c>
    </row>
    <row r="168" spans="1:14">
      <c r="A168" t="s">
        <v>763</v>
      </c>
      <c r="B168" t="s">
        <v>23</v>
      </c>
      <c r="C168" t="s">
        <v>23</v>
      </c>
      <c r="D168" t="s">
        <v>23</v>
      </c>
      <c r="E168" t="s">
        <v>23</v>
      </c>
      <c r="F168" t="s">
        <v>23</v>
      </c>
    </row>
    <row r="169" spans="1:14">
      <c r="A169" t="s">
        <v>712</v>
      </c>
      <c r="B169" t="s">
        <v>23</v>
      </c>
      <c r="C169" t="s">
        <v>23</v>
      </c>
      <c r="D169" t="s">
        <v>23</v>
      </c>
      <c r="E169" t="s">
        <v>23</v>
      </c>
      <c r="F169" t="s">
        <v>23</v>
      </c>
    </row>
    <row r="170" spans="1:14">
      <c r="A170" t="s">
        <v>714</v>
      </c>
      <c r="B170">
        <v>1636</v>
      </c>
      <c r="C170">
        <v>1705</v>
      </c>
      <c r="D170">
        <v>1637</v>
      </c>
      <c r="E170">
        <v>1556</v>
      </c>
      <c r="F170">
        <v>1301</v>
      </c>
    </row>
    <row r="171" spans="1:14">
      <c r="A171" s="167" t="s">
        <v>642</v>
      </c>
    </row>
    <row r="172" spans="1:14">
      <c r="A172" t="s">
        <v>764</v>
      </c>
      <c r="I172" t="s">
        <v>764</v>
      </c>
      <c r="K172" t="s">
        <v>645</v>
      </c>
    </row>
    <row r="173" spans="1:14">
      <c r="A173" t="s">
        <v>765</v>
      </c>
      <c r="C173" t="s">
        <v>645</v>
      </c>
      <c r="I173" t="s">
        <v>647</v>
      </c>
      <c r="J173" t="s">
        <v>641</v>
      </c>
      <c r="K173" t="s">
        <v>640</v>
      </c>
      <c r="L173" t="s">
        <v>639</v>
      </c>
      <c r="M173" t="s">
        <v>638</v>
      </c>
      <c r="N173" t="s">
        <v>637</v>
      </c>
    </row>
    <row r="174" spans="1:14">
      <c r="B174" t="s">
        <v>641</v>
      </c>
      <c r="C174" t="s">
        <v>640</v>
      </c>
      <c r="D174" t="s">
        <v>639</v>
      </c>
      <c r="E174" t="s">
        <v>638</v>
      </c>
      <c r="F174" t="s">
        <v>637</v>
      </c>
      <c r="I174" t="s">
        <v>26</v>
      </c>
      <c r="J174">
        <v>6561</v>
      </c>
      <c r="K174">
        <v>9081</v>
      </c>
      <c r="L174">
        <v>7776</v>
      </c>
      <c r="M174">
        <v>5197</v>
      </c>
      <c r="N174">
        <v>4794</v>
      </c>
    </row>
    <row r="175" spans="1:14">
      <c r="A175" t="s">
        <v>1</v>
      </c>
      <c r="B175" t="s">
        <v>23</v>
      </c>
      <c r="C175" t="s">
        <v>23</v>
      </c>
      <c r="D175" t="s">
        <v>23</v>
      </c>
      <c r="E175" t="s">
        <v>23</v>
      </c>
      <c r="F175" t="s">
        <v>23</v>
      </c>
      <c r="I175" t="s">
        <v>766</v>
      </c>
      <c r="J175">
        <v>4262</v>
      </c>
      <c r="K175">
        <v>4979</v>
      </c>
      <c r="L175">
        <v>3092</v>
      </c>
      <c r="M175">
        <v>4303</v>
      </c>
      <c r="N175">
        <v>8289</v>
      </c>
    </row>
    <row r="176" spans="1:14">
      <c r="A176" t="s">
        <v>767</v>
      </c>
      <c r="B176">
        <v>31797</v>
      </c>
      <c r="C176">
        <v>29771</v>
      </c>
      <c r="D176">
        <v>27518</v>
      </c>
      <c r="E176">
        <v>25371</v>
      </c>
      <c r="F176">
        <v>21454</v>
      </c>
      <c r="I176" t="s">
        <v>768</v>
      </c>
      <c r="J176">
        <v>984</v>
      </c>
      <c r="K176">
        <v>1069</v>
      </c>
      <c r="L176">
        <v>963</v>
      </c>
      <c r="M176">
        <v>800</v>
      </c>
      <c r="N176">
        <v>577</v>
      </c>
    </row>
    <row r="177" spans="1:14">
      <c r="A177" t="s">
        <v>769</v>
      </c>
      <c r="B177" t="s">
        <v>23</v>
      </c>
      <c r="C177" t="s">
        <v>23</v>
      </c>
      <c r="D177" t="s">
        <v>23</v>
      </c>
      <c r="E177" t="s">
        <v>23</v>
      </c>
      <c r="F177" t="s">
        <v>23</v>
      </c>
      <c r="I177" t="s">
        <v>770</v>
      </c>
      <c r="L177">
        <v>7431</v>
      </c>
      <c r="M177">
        <v>4846</v>
      </c>
    </row>
    <row r="178" spans="1:14">
      <c r="A178" t="s">
        <v>771</v>
      </c>
      <c r="B178">
        <v>15697</v>
      </c>
      <c r="C178">
        <v>14385</v>
      </c>
      <c r="D178">
        <v>12173</v>
      </c>
      <c r="E178">
        <v>10315</v>
      </c>
      <c r="F178">
        <v>7934</v>
      </c>
      <c r="I178" t="s">
        <v>772</v>
      </c>
      <c r="J178">
        <v>37671</v>
      </c>
      <c r="K178">
        <v>38935</v>
      </c>
      <c r="L178">
        <v>36357</v>
      </c>
      <c r="M178">
        <v>36141</v>
      </c>
      <c r="N178">
        <v>33418</v>
      </c>
    </row>
    <row r="179" spans="1:14">
      <c r="A179" t="s">
        <v>773</v>
      </c>
      <c r="B179">
        <v>1442</v>
      </c>
      <c r="C179">
        <v>1682</v>
      </c>
      <c r="D179">
        <v>1572</v>
      </c>
      <c r="E179">
        <v>1060</v>
      </c>
      <c r="F179">
        <v>1741</v>
      </c>
      <c r="I179" t="s">
        <v>32</v>
      </c>
      <c r="J179">
        <v>4651</v>
      </c>
      <c r="K179">
        <v>2509</v>
      </c>
      <c r="L179">
        <v>1898</v>
      </c>
      <c r="M179">
        <v>1287</v>
      </c>
      <c r="N179">
        <v>1148</v>
      </c>
    </row>
    <row r="180" spans="1:14">
      <c r="A180" t="s">
        <v>774</v>
      </c>
      <c r="B180">
        <v>1768</v>
      </c>
      <c r="C180">
        <v>1919</v>
      </c>
      <c r="D180">
        <v>2120</v>
      </c>
      <c r="E180">
        <v>2075</v>
      </c>
      <c r="F180">
        <v>1778</v>
      </c>
      <c r="I180" t="s">
        <v>33</v>
      </c>
      <c r="J180">
        <v>61092</v>
      </c>
      <c r="K180">
        <v>62569</v>
      </c>
      <c r="L180">
        <v>57517</v>
      </c>
      <c r="M180">
        <v>52574</v>
      </c>
      <c r="N180">
        <v>50995</v>
      </c>
    </row>
    <row r="181" spans="1:14">
      <c r="A181" t="s">
        <v>775</v>
      </c>
      <c r="B181">
        <v>2001</v>
      </c>
      <c r="C181">
        <v>1809</v>
      </c>
      <c r="D181">
        <v>2257</v>
      </c>
      <c r="E181">
        <v>2445</v>
      </c>
      <c r="F181">
        <v>1861</v>
      </c>
      <c r="I181" t="s">
        <v>776</v>
      </c>
      <c r="J181">
        <v>4583</v>
      </c>
      <c r="K181">
        <v>3273</v>
      </c>
      <c r="L181">
        <v>5018</v>
      </c>
      <c r="M181">
        <v>6797</v>
      </c>
      <c r="N181">
        <v>6089</v>
      </c>
    </row>
    <row r="182" spans="1:14">
      <c r="A182" t="s">
        <v>777</v>
      </c>
      <c r="B182">
        <v>2979</v>
      </c>
      <c r="C182">
        <v>2973</v>
      </c>
      <c r="D182">
        <v>3253</v>
      </c>
      <c r="E182">
        <v>3038</v>
      </c>
      <c r="F182">
        <v>2642</v>
      </c>
      <c r="I182" t="s">
        <v>778</v>
      </c>
      <c r="J182">
        <v>1508</v>
      </c>
      <c r="K182">
        <v>1488</v>
      </c>
      <c r="L182">
        <v>1730</v>
      </c>
      <c r="M182">
        <v>1909</v>
      </c>
      <c r="N182">
        <v>1807</v>
      </c>
    </row>
    <row r="183" spans="1:14">
      <c r="A183" t="s">
        <v>4</v>
      </c>
      <c r="B183">
        <v>2147</v>
      </c>
      <c r="C183">
        <v>2059</v>
      </c>
      <c r="D183">
        <v>2099</v>
      </c>
      <c r="E183">
        <v>2114</v>
      </c>
      <c r="F183">
        <v>2070</v>
      </c>
      <c r="I183" t="s">
        <v>36</v>
      </c>
      <c r="J183">
        <v>10837</v>
      </c>
      <c r="K183">
        <v>11026</v>
      </c>
      <c r="L183">
        <v>11209</v>
      </c>
      <c r="M183">
        <v>11454</v>
      </c>
      <c r="N183">
        <v>9135</v>
      </c>
    </row>
    <row r="184" spans="1:14">
      <c r="A184" t="s">
        <v>779</v>
      </c>
      <c r="B184">
        <v>438</v>
      </c>
      <c r="C184">
        <v>-84</v>
      </c>
      <c r="D184">
        <v>207</v>
      </c>
      <c r="E184">
        <v>62</v>
      </c>
      <c r="F184">
        <v>139</v>
      </c>
      <c r="I184" t="s">
        <v>666</v>
      </c>
      <c r="J184">
        <v>326</v>
      </c>
      <c r="K184">
        <v>537</v>
      </c>
      <c r="L184">
        <v>788</v>
      </c>
      <c r="M184">
        <v>1332</v>
      </c>
      <c r="N184">
        <v>1048</v>
      </c>
    </row>
    <row r="185" spans="1:14">
      <c r="A185" t="s">
        <v>8</v>
      </c>
      <c r="B185">
        <v>26472</v>
      </c>
      <c r="C185">
        <v>24743</v>
      </c>
      <c r="D185">
        <v>23681</v>
      </c>
      <c r="E185">
        <v>21109</v>
      </c>
      <c r="F185">
        <v>18165</v>
      </c>
      <c r="I185" t="s">
        <v>38</v>
      </c>
      <c r="J185">
        <v>3265</v>
      </c>
      <c r="K185">
        <v>3273</v>
      </c>
      <c r="L185">
        <v>2455</v>
      </c>
      <c r="M185">
        <v>1737</v>
      </c>
      <c r="N185">
        <v>1305</v>
      </c>
    </row>
    <row r="186" spans="1:14">
      <c r="A186" t="s">
        <v>9</v>
      </c>
      <c r="B186">
        <v>5325</v>
      </c>
      <c r="C186">
        <v>5028</v>
      </c>
      <c r="D186">
        <v>3837</v>
      </c>
      <c r="E186">
        <v>4262</v>
      </c>
      <c r="F186">
        <v>3289</v>
      </c>
      <c r="I186" t="s">
        <v>668</v>
      </c>
      <c r="J186">
        <v>81611</v>
      </c>
      <c r="K186">
        <v>82166</v>
      </c>
      <c r="L186">
        <v>78717</v>
      </c>
      <c r="M186">
        <v>75803</v>
      </c>
      <c r="N186">
        <v>70379</v>
      </c>
    </row>
    <row r="187" spans="1:14">
      <c r="A187" t="s">
        <v>14</v>
      </c>
      <c r="B187">
        <v>4</v>
      </c>
      <c r="C187">
        <v>383</v>
      </c>
      <c r="D187">
        <v>-471</v>
      </c>
      <c r="E187">
        <v>-163</v>
      </c>
      <c r="F187">
        <v>1776</v>
      </c>
      <c r="I187" t="s">
        <v>780</v>
      </c>
      <c r="J187" t="s">
        <v>23</v>
      </c>
      <c r="K187" t="s">
        <v>23</v>
      </c>
      <c r="L187" t="s">
        <v>23</v>
      </c>
    </row>
    <row r="188" spans="1:14">
      <c r="A188" t="s">
        <v>16</v>
      </c>
      <c r="B188">
        <v>5329</v>
      </c>
      <c r="C188">
        <v>5411</v>
      </c>
      <c r="D188">
        <v>3366</v>
      </c>
      <c r="E188">
        <v>4099</v>
      </c>
      <c r="F188">
        <v>5065</v>
      </c>
      <c r="I188" t="s">
        <v>41</v>
      </c>
      <c r="J188">
        <v>227</v>
      </c>
      <c r="K188">
        <v>139</v>
      </c>
      <c r="L188">
        <v>126</v>
      </c>
      <c r="M188">
        <v>197</v>
      </c>
      <c r="N188">
        <v>252</v>
      </c>
    </row>
    <row r="189" spans="1:14">
      <c r="A189" t="s">
        <v>17</v>
      </c>
      <c r="B189">
        <v>1182</v>
      </c>
      <c r="C189">
        <v>1165</v>
      </c>
      <c r="D189">
        <v>947</v>
      </c>
      <c r="E189">
        <v>-70</v>
      </c>
      <c r="F189">
        <v>863</v>
      </c>
      <c r="I189" t="s">
        <v>781</v>
      </c>
      <c r="J189">
        <v>39671</v>
      </c>
      <c r="K189">
        <v>41935</v>
      </c>
      <c r="L189">
        <v>40107</v>
      </c>
      <c r="M189">
        <v>38841</v>
      </c>
      <c r="N189">
        <v>35418</v>
      </c>
    </row>
    <row r="190" spans="1:14">
      <c r="A190" t="s">
        <v>782</v>
      </c>
      <c r="B190">
        <v>4147</v>
      </c>
      <c r="C190">
        <v>4246</v>
      </c>
      <c r="D190">
        <v>2419</v>
      </c>
      <c r="E190">
        <v>4169</v>
      </c>
      <c r="F190">
        <v>4202</v>
      </c>
      <c r="I190" t="s">
        <v>783</v>
      </c>
      <c r="J190">
        <v>8478</v>
      </c>
      <c r="K190">
        <v>6392</v>
      </c>
      <c r="L190">
        <v>4055</v>
      </c>
      <c r="M190">
        <v>3755</v>
      </c>
      <c r="N190">
        <v>2648</v>
      </c>
    </row>
    <row r="191" spans="1:14">
      <c r="A191" t="s">
        <v>784</v>
      </c>
      <c r="B191" t="s">
        <v>23</v>
      </c>
      <c r="C191" t="s">
        <v>23</v>
      </c>
      <c r="D191" t="s">
        <v>23</v>
      </c>
      <c r="E191" t="s">
        <v>23</v>
      </c>
      <c r="F191" t="s">
        <v>23</v>
      </c>
      <c r="I191" t="s">
        <v>785</v>
      </c>
      <c r="L191">
        <v>813</v>
      </c>
      <c r="M191">
        <v>236</v>
      </c>
      <c r="N191">
        <v>129</v>
      </c>
    </row>
    <row r="192" spans="1:14">
      <c r="A192" t="s">
        <v>753</v>
      </c>
      <c r="B192">
        <v>4.03</v>
      </c>
      <c r="C192">
        <v>3.85</v>
      </c>
      <c r="D192">
        <v>2.1</v>
      </c>
      <c r="E192">
        <v>3.55</v>
      </c>
      <c r="F192">
        <v>3.58</v>
      </c>
      <c r="I192" t="s">
        <v>47</v>
      </c>
      <c r="J192">
        <v>48376</v>
      </c>
      <c r="K192">
        <v>48466</v>
      </c>
      <c r="L192">
        <v>45101</v>
      </c>
      <c r="M192">
        <v>43029</v>
      </c>
      <c r="N192">
        <v>38447</v>
      </c>
    </row>
    <row r="193" spans="1:14">
      <c r="A193" t="s">
        <v>754</v>
      </c>
      <c r="B193">
        <v>3.99</v>
      </c>
      <c r="C193">
        <v>3.84</v>
      </c>
      <c r="D193">
        <v>2.09</v>
      </c>
      <c r="E193">
        <v>3.52</v>
      </c>
      <c r="F193">
        <v>3.54</v>
      </c>
      <c r="I193" t="s">
        <v>786</v>
      </c>
      <c r="L193">
        <v>2925</v>
      </c>
      <c r="M193">
        <v>2998</v>
      </c>
      <c r="N193">
        <v>2930</v>
      </c>
    </row>
    <row r="194" spans="1:14">
      <c r="A194" t="s">
        <v>787</v>
      </c>
      <c r="B194" t="s">
        <v>23</v>
      </c>
      <c r="C194" t="s">
        <v>23</v>
      </c>
      <c r="D194" t="s">
        <v>23</v>
      </c>
      <c r="E194" t="s">
        <v>23</v>
      </c>
      <c r="F194" t="s">
        <v>23</v>
      </c>
      <c r="I194" t="s">
        <v>48</v>
      </c>
      <c r="J194">
        <v>9879</v>
      </c>
      <c r="K194">
        <v>9676</v>
      </c>
      <c r="L194">
        <v>10417</v>
      </c>
      <c r="M194">
        <v>8049</v>
      </c>
      <c r="N194">
        <v>8939</v>
      </c>
    </row>
    <row r="195" spans="1:14">
      <c r="A195" t="s">
        <v>757</v>
      </c>
      <c r="B195">
        <v>1029</v>
      </c>
      <c r="C195">
        <v>1103</v>
      </c>
      <c r="D195">
        <v>1154</v>
      </c>
      <c r="E195">
        <v>1174</v>
      </c>
      <c r="F195">
        <v>1173</v>
      </c>
      <c r="I195" t="s">
        <v>683</v>
      </c>
      <c r="J195">
        <v>61194</v>
      </c>
      <c r="K195">
        <v>61115</v>
      </c>
      <c r="L195">
        <v>58443</v>
      </c>
      <c r="M195">
        <v>54076</v>
      </c>
      <c r="N195">
        <v>50316</v>
      </c>
    </row>
    <row r="196" spans="1:14">
      <c r="A196" t="s">
        <v>759</v>
      </c>
      <c r="B196">
        <v>1039</v>
      </c>
      <c r="C196">
        <v>1107</v>
      </c>
      <c r="D196">
        <v>1158</v>
      </c>
      <c r="E196">
        <v>1186</v>
      </c>
      <c r="F196">
        <v>1187</v>
      </c>
      <c r="I196" t="s">
        <v>788</v>
      </c>
      <c r="J196" t="s">
        <v>23</v>
      </c>
      <c r="K196" t="s">
        <v>23</v>
      </c>
      <c r="L196" t="s">
        <v>23</v>
      </c>
    </row>
    <row r="197" spans="1:14">
      <c r="I197" t="s">
        <v>789</v>
      </c>
      <c r="L197">
        <v>0</v>
      </c>
      <c r="M197">
        <v>0</v>
      </c>
    </row>
    <row r="198" spans="1:14">
      <c r="I198" t="s">
        <v>790</v>
      </c>
      <c r="J198">
        <v>0</v>
      </c>
      <c r="K198">
        <v>0</v>
      </c>
      <c r="L198">
        <v>0</v>
      </c>
      <c r="M198">
        <v>0</v>
      </c>
      <c r="N198">
        <v>0</v>
      </c>
    </row>
    <row r="199" spans="1:14">
      <c r="I199" t="s">
        <v>791</v>
      </c>
      <c r="L199">
        <v>-16079</v>
      </c>
      <c r="M199">
        <v>-11880</v>
      </c>
    </row>
    <row r="200" spans="1:14">
      <c r="I200" t="s">
        <v>54</v>
      </c>
      <c r="J200">
        <v>20705</v>
      </c>
      <c r="K200">
        <v>19642</v>
      </c>
      <c r="L200">
        <v>18327</v>
      </c>
      <c r="M200">
        <v>17208</v>
      </c>
      <c r="N200">
        <v>16644</v>
      </c>
    </row>
    <row r="201" spans="1:14">
      <c r="I201" t="s">
        <v>56</v>
      </c>
      <c r="J201">
        <v>27347</v>
      </c>
      <c r="K201">
        <v>23200</v>
      </c>
      <c r="L201">
        <v>18954</v>
      </c>
      <c r="M201">
        <v>16535</v>
      </c>
      <c r="N201">
        <v>12366</v>
      </c>
    </row>
    <row r="202" spans="1:14">
      <c r="I202" t="s">
        <v>57</v>
      </c>
      <c r="J202">
        <v>-550</v>
      </c>
      <c r="K202">
        <v>-746</v>
      </c>
      <c r="L202">
        <v>-928</v>
      </c>
      <c r="M202">
        <v>-136</v>
      </c>
      <c r="N202">
        <v>-484</v>
      </c>
    </row>
    <row r="203" spans="1:14">
      <c r="I203" t="s">
        <v>696</v>
      </c>
      <c r="J203">
        <v>20417</v>
      </c>
      <c r="K203">
        <v>21051</v>
      </c>
      <c r="L203">
        <v>20274</v>
      </c>
      <c r="M203">
        <v>21727</v>
      </c>
      <c r="N203">
        <v>20063</v>
      </c>
    </row>
    <row r="204" spans="1:14">
      <c r="I204" t="s">
        <v>697</v>
      </c>
      <c r="J204">
        <v>81611</v>
      </c>
      <c r="K204">
        <v>82166</v>
      </c>
      <c r="L204">
        <v>78717</v>
      </c>
      <c r="M204">
        <v>75803</v>
      </c>
      <c r="N204">
        <v>70379</v>
      </c>
    </row>
    <row r="205" spans="1:14">
      <c r="I205" t="s">
        <v>792</v>
      </c>
      <c r="N205">
        <v>2769</v>
      </c>
    </row>
    <row r="206" spans="1:14">
      <c r="A206" s="167" t="s">
        <v>642</v>
      </c>
      <c r="I206" t="s">
        <v>793</v>
      </c>
      <c r="N206">
        <v>0</v>
      </c>
    </row>
    <row r="207" spans="1:14">
      <c r="I207" t="s">
        <v>794</v>
      </c>
      <c r="N207">
        <v>-8507</v>
      </c>
    </row>
    <row r="208" spans="1:14">
      <c r="I208" t="s">
        <v>795</v>
      </c>
      <c r="N208">
        <v>20019</v>
      </c>
    </row>
    <row r="209" spans="1:14">
      <c r="I209" t="s">
        <v>796</v>
      </c>
      <c r="M209">
        <v>0</v>
      </c>
      <c r="N209">
        <v>44</v>
      </c>
    </row>
    <row r="210" spans="1:14">
      <c r="I210" t="s">
        <v>797</v>
      </c>
      <c r="M210">
        <v>4846</v>
      </c>
      <c r="N210">
        <v>2769</v>
      </c>
    </row>
    <row r="211" spans="1:14">
      <c r="I211" t="s">
        <v>798</v>
      </c>
      <c r="M211">
        <v>0</v>
      </c>
      <c r="N211">
        <v>0</v>
      </c>
    </row>
    <row r="212" spans="1:14">
      <c r="I212" t="s">
        <v>799</v>
      </c>
      <c r="M212">
        <v>-11880</v>
      </c>
      <c r="N212">
        <v>-8507</v>
      </c>
    </row>
    <row r="213" spans="1:14">
      <c r="I213" t="s">
        <v>800</v>
      </c>
      <c r="M213">
        <v>21727</v>
      </c>
      <c r="N213">
        <v>20019</v>
      </c>
    </row>
    <row r="214" spans="1:14">
      <c r="I214" t="s">
        <v>801</v>
      </c>
      <c r="J214">
        <v>541</v>
      </c>
      <c r="K214">
        <v>563</v>
      </c>
    </row>
    <row r="215" spans="1:14">
      <c r="I215" t="s">
        <v>802</v>
      </c>
      <c r="J215">
        <v>6422</v>
      </c>
      <c r="K215">
        <v>5433</v>
      </c>
    </row>
    <row r="216" spans="1:14">
      <c r="I216" t="s">
        <v>803</v>
      </c>
      <c r="J216">
        <v>2939</v>
      </c>
      <c r="K216">
        <v>2973</v>
      </c>
    </row>
    <row r="217" spans="1:14">
      <c r="I217" t="s">
        <v>804</v>
      </c>
      <c r="J217">
        <v>0</v>
      </c>
      <c r="K217">
        <v>0</v>
      </c>
    </row>
    <row r="218" spans="1:14">
      <c r="I218" t="s">
        <v>805</v>
      </c>
      <c r="J218">
        <v>-27085</v>
      </c>
      <c r="K218">
        <v>-21045</v>
      </c>
    </row>
    <row r="219" spans="1:14">
      <c r="A219" t="s">
        <v>806</v>
      </c>
      <c r="I219" s="167" t="s">
        <v>642</v>
      </c>
    </row>
    <row r="220" spans="1:14">
      <c r="A220" t="s">
        <v>807</v>
      </c>
      <c r="C220" t="s">
        <v>645</v>
      </c>
      <c r="I220" t="s">
        <v>806</v>
      </c>
      <c r="K220" t="s">
        <v>645</v>
      </c>
    </row>
    <row r="221" spans="1:14">
      <c r="A221" t="s">
        <v>647</v>
      </c>
      <c r="B221" t="s">
        <v>808</v>
      </c>
      <c r="C221" t="s">
        <v>809</v>
      </c>
      <c r="D221" t="s">
        <v>810</v>
      </c>
      <c r="E221" t="s">
        <v>811</v>
      </c>
      <c r="F221" t="s">
        <v>812</v>
      </c>
      <c r="I221" t="s">
        <v>647</v>
      </c>
      <c r="J221" t="s">
        <v>808</v>
      </c>
      <c r="K221" t="s">
        <v>809</v>
      </c>
      <c r="L221" t="s">
        <v>810</v>
      </c>
      <c r="M221" t="s">
        <v>811</v>
      </c>
      <c r="N221" t="s">
        <v>812</v>
      </c>
    </row>
    <row r="222" spans="1:14">
      <c r="A222" t="s">
        <v>537</v>
      </c>
      <c r="B222">
        <v>24121.053</v>
      </c>
      <c r="C222">
        <v>21915.623</v>
      </c>
      <c r="D222">
        <v>17531.587</v>
      </c>
      <c r="E222">
        <v>17661.203000000001</v>
      </c>
      <c r="F222">
        <v>9497.5779999999995</v>
      </c>
      <c r="I222" t="s">
        <v>26</v>
      </c>
      <c r="J222">
        <v>8075.2470000000003</v>
      </c>
      <c r="K222">
        <v>4996.4650000000001</v>
      </c>
      <c r="L222">
        <v>4544.2020000000002</v>
      </c>
      <c r="M222">
        <v>4443.6689999999999</v>
      </c>
      <c r="N222">
        <v>3158.058</v>
      </c>
    </row>
    <row r="223" spans="1:14">
      <c r="A223" t="s">
        <v>813</v>
      </c>
      <c r="B223">
        <v>68.364000000000004</v>
      </c>
      <c r="C223">
        <v>72.828999999999994</v>
      </c>
      <c r="D223">
        <v>70.194000000000003</v>
      </c>
      <c r="E223">
        <v>22.645</v>
      </c>
      <c r="F223">
        <v>11.173999999999999</v>
      </c>
      <c r="I223" t="s">
        <v>814</v>
      </c>
      <c r="J223">
        <v>403.42599999999999</v>
      </c>
      <c r="K223">
        <v>851.90099999999995</v>
      </c>
      <c r="L223">
        <v>1081.8510000000001</v>
      </c>
      <c r="M223">
        <v>869.28300000000002</v>
      </c>
      <c r="N223">
        <v>695.11199999999997</v>
      </c>
    </row>
    <row r="224" spans="1:14">
      <c r="A224" t="s">
        <v>815</v>
      </c>
      <c r="B224">
        <v>15232.017</v>
      </c>
      <c r="C224">
        <v>14410.736999999999</v>
      </c>
      <c r="D224">
        <v>11539.695</v>
      </c>
      <c r="E224">
        <v>13241.38</v>
      </c>
      <c r="F224">
        <v>6764.1689999999999</v>
      </c>
      <c r="I224" t="s">
        <v>816</v>
      </c>
      <c r="J224">
        <v>1060.9659999999999</v>
      </c>
      <c r="K224">
        <v>3226.2939999999999</v>
      </c>
      <c r="L224">
        <v>2416.3240000000001</v>
      </c>
      <c r="M224">
        <v>1171.6120000000001</v>
      </c>
      <c r="N224">
        <v>1024.895</v>
      </c>
    </row>
    <row r="225" spans="1:14">
      <c r="A225" t="s">
        <v>817</v>
      </c>
      <c r="B225">
        <v>8889.0360000000001</v>
      </c>
      <c r="C225">
        <v>7504.8860000000004</v>
      </c>
      <c r="D225">
        <v>5991.8919999999998</v>
      </c>
      <c r="E225">
        <v>4419.8230000000003</v>
      </c>
      <c r="F225">
        <v>2733.4090000000001</v>
      </c>
      <c r="I225" t="s">
        <v>818</v>
      </c>
      <c r="J225">
        <v>4182.8720000000003</v>
      </c>
      <c r="K225">
        <v>3170.43</v>
      </c>
      <c r="L225">
        <v>3180.3240000000001</v>
      </c>
      <c r="M225">
        <v>2830.9949999999999</v>
      </c>
      <c r="N225">
        <v>2037.8320000000001</v>
      </c>
    </row>
    <row r="226" spans="1:14">
      <c r="A226" t="s">
        <v>819</v>
      </c>
      <c r="B226">
        <v>2914.415</v>
      </c>
      <c r="C226">
        <v>2720.819</v>
      </c>
      <c r="D226">
        <v>2135.6120000000001</v>
      </c>
      <c r="E226">
        <v>1383.8409999999999</v>
      </c>
      <c r="F226">
        <v>881.82600000000002</v>
      </c>
      <c r="I226" t="s">
        <v>820</v>
      </c>
      <c r="J226">
        <v>652.48900000000003</v>
      </c>
      <c r="K226">
        <v>274.63</v>
      </c>
      <c r="L226">
        <v>474.036</v>
      </c>
      <c r="M226">
        <v>517.94000000000005</v>
      </c>
      <c r="N226">
        <v>462.66500000000002</v>
      </c>
    </row>
    <row r="227" spans="1:14">
      <c r="A227" t="s">
        <v>775</v>
      </c>
      <c r="B227">
        <v>1984.2650000000001</v>
      </c>
      <c r="C227">
        <v>2019.009</v>
      </c>
      <c r="D227">
        <v>2057.951</v>
      </c>
      <c r="E227">
        <v>1617.1890000000001</v>
      </c>
      <c r="F227">
        <v>1109.67</v>
      </c>
      <c r="I227" t="s">
        <v>821</v>
      </c>
      <c r="J227">
        <v>2541.7040000000002</v>
      </c>
      <c r="K227">
        <v>2353.4879999999998</v>
      </c>
      <c r="L227">
        <v>1627.2650000000001</v>
      </c>
      <c r="M227">
        <v>687.42899999999997</v>
      </c>
      <c r="N227">
        <v>383.06700000000001</v>
      </c>
    </row>
    <row r="228" spans="1:14">
      <c r="A228" t="s">
        <v>4</v>
      </c>
      <c r="B228">
        <v>2149.0990000000002</v>
      </c>
      <c r="C228">
        <v>2209.19</v>
      </c>
      <c r="D228">
        <v>1686.8489999999999</v>
      </c>
      <c r="E228">
        <v>982.81700000000001</v>
      </c>
      <c r="F228">
        <v>579.20299999999997</v>
      </c>
      <c r="I228" t="s">
        <v>33</v>
      </c>
      <c r="J228">
        <v>19880.201000000001</v>
      </c>
      <c r="K228">
        <v>17818.697</v>
      </c>
      <c r="L228">
        <v>15623.405000000001</v>
      </c>
      <c r="M228">
        <v>10520.928</v>
      </c>
      <c r="N228">
        <v>7761.6289999999999</v>
      </c>
    </row>
    <row r="229" spans="1:14">
      <c r="A229" t="s">
        <v>822</v>
      </c>
      <c r="B229">
        <v>794.221</v>
      </c>
      <c r="C229">
        <v>660.66300000000001</v>
      </c>
      <c r="D229">
        <v>550.68299999999999</v>
      </c>
      <c r="E229">
        <v>187.99100000000001</v>
      </c>
      <c r="F229">
        <v>177.67</v>
      </c>
      <c r="I229" t="s">
        <v>778</v>
      </c>
      <c r="J229">
        <v>314.43200000000002</v>
      </c>
      <c r="K229">
        <v>296.05599999999998</v>
      </c>
      <c r="L229">
        <v>329.30200000000002</v>
      </c>
      <c r="M229">
        <v>282.14</v>
      </c>
      <c r="N229">
        <v>233.52</v>
      </c>
    </row>
    <row r="230" spans="1:14">
      <c r="A230" t="s">
        <v>823</v>
      </c>
      <c r="B230">
        <v>0</v>
      </c>
      <c r="C230">
        <v>0</v>
      </c>
      <c r="D230">
        <v>46.570999999999998</v>
      </c>
      <c r="E230">
        <v>71.126000000000005</v>
      </c>
      <c r="F230">
        <v>0</v>
      </c>
      <c r="I230" t="s">
        <v>36</v>
      </c>
      <c r="J230">
        <v>11417.422</v>
      </c>
      <c r="K230">
        <v>11919.72</v>
      </c>
      <c r="L230">
        <v>11966.761</v>
      </c>
      <c r="M230">
        <v>519.27599999999995</v>
      </c>
      <c r="N230">
        <v>316.70100000000002</v>
      </c>
    </row>
    <row r="231" spans="1:14">
      <c r="A231" t="s">
        <v>824</v>
      </c>
      <c r="B231">
        <v>154.709</v>
      </c>
      <c r="C231">
        <v>174.04400000000001</v>
      </c>
      <c r="D231">
        <v>138.75800000000001</v>
      </c>
      <c r="E231">
        <v>15.747</v>
      </c>
      <c r="F231">
        <v>3.855</v>
      </c>
      <c r="I231" t="s">
        <v>825</v>
      </c>
      <c r="J231">
        <v>1433.067</v>
      </c>
      <c r="K231">
        <v>1761.521</v>
      </c>
      <c r="L231">
        <v>2014.0340000000001</v>
      </c>
      <c r="M231">
        <v>257.04899999999998</v>
      </c>
      <c r="N231">
        <v>137.61199999999999</v>
      </c>
    </row>
    <row r="232" spans="1:14">
      <c r="A232" t="s">
        <v>8</v>
      </c>
      <c r="B232">
        <v>7996.7089999999998</v>
      </c>
      <c r="C232">
        <v>7783.7250000000004</v>
      </c>
      <c r="D232">
        <v>6616.424</v>
      </c>
      <c r="E232">
        <v>4258.7110000000002</v>
      </c>
      <c r="F232">
        <v>2752.2240000000002</v>
      </c>
      <c r="I232" t="s">
        <v>826</v>
      </c>
      <c r="J232">
        <v>471.97699999999998</v>
      </c>
      <c r="K232">
        <v>251.12700000000001</v>
      </c>
      <c r="L232">
        <v>573.42899999999997</v>
      </c>
      <c r="M232">
        <v>1526.43</v>
      </c>
      <c r="N232">
        <v>463.95</v>
      </c>
    </row>
    <row r="233" spans="1:14">
      <c r="A233" t="s">
        <v>827</v>
      </c>
      <c r="B233">
        <v>892.327</v>
      </c>
      <c r="C233">
        <v>-278.839</v>
      </c>
      <c r="D233">
        <v>-624.53200000000004</v>
      </c>
      <c r="E233">
        <v>161.11199999999999</v>
      </c>
      <c r="F233">
        <v>-18.815000000000001</v>
      </c>
      <c r="I233" t="s">
        <v>828</v>
      </c>
      <c r="J233">
        <v>219.95400000000001</v>
      </c>
      <c r="K233">
        <v>244.70099999999999</v>
      </c>
      <c r="L233">
        <v>373.17200000000003</v>
      </c>
      <c r="M233">
        <v>449.40600000000001</v>
      </c>
      <c r="N233">
        <v>456.88799999999998</v>
      </c>
    </row>
    <row r="234" spans="1:14">
      <c r="A234" t="s">
        <v>829</v>
      </c>
      <c r="B234">
        <v>9.3019999999999996</v>
      </c>
      <c r="C234">
        <v>-47.220999999999997</v>
      </c>
      <c r="D234">
        <v>36.228000000000002</v>
      </c>
      <c r="E234">
        <v>33.124000000000002</v>
      </c>
      <c r="F234">
        <v>56.942999999999998</v>
      </c>
      <c r="I234" t="s">
        <v>830</v>
      </c>
      <c r="J234">
        <v>1239.548</v>
      </c>
      <c r="K234">
        <v>730.08900000000006</v>
      </c>
      <c r="L234">
        <v>484.23700000000002</v>
      </c>
      <c r="M234">
        <v>370.53500000000003</v>
      </c>
      <c r="N234">
        <v>499.25</v>
      </c>
    </row>
    <row r="235" spans="1:14">
      <c r="A235" t="s">
        <v>831</v>
      </c>
      <c r="B235">
        <v>-420.91800000000001</v>
      </c>
      <c r="C235">
        <v>-207.084</v>
      </c>
      <c r="D235">
        <v>0</v>
      </c>
      <c r="E235">
        <v>0</v>
      </c>
      <c r="F235">
        <v>0</v>
      </c>
      <c r="I235" t="s">
        <v>668</v>
      </c>
      <c r="J235">
        <v>36777.595000000001</v>
      </c>
      <c r="K235">
        <v>33031.307999999997</v>
      </c>
      <c r="L235">
        <v>31364.34</v>
      </c>
      <c r="M235">
        <v>13925.763999999999</v>
      </c>
      <c r="N235">
        <v>9869.5499999999993</v>
      </c>
    </row>
    <row r="236" spans="1:14">
      <c r="A236" t="s">
        <v>832</v>
      </c>
      <c r="B236">
        <v>-53.210999999999999</v>
      </c>
      <c r="C236">
        <v>4.609</v>
      </c>
      <c r="D236">
        <v>-95.442999999999998</v>
      </c>
      <c r="E236">
        <v>-29.474</v>
      </c>
      <c r="F236">
        <v>-291.72500000000002</v>
      </c>
      <c r="I236" t="s">
        <v>833</v>
      </c>
      <c r="J236">
        <v>5837.152</v>
      </c>
      <c r="K236">
        <v>6795.34</v>
      </c>
      <c r="L236">
        <v>5548.6559999999999</v>
      </c>
      <c r="M236">
        <v>3979.6239999999998</v>
      </c>
      <c r="N236">
        <v>3009.0509999999999</v>
      </c>
    </row>
    <row r="237" spans="1:14">
      <c r="A237" t="s">
        <v>834</v>
      </c>
      <c r="B237">
        <v>1357.154</v>
      </c>
      <c r="C237">
        <v>-29.143000000000001</v>
      </c>
      <c r="D237">
        <v>-565.31700000000001</v>
      </c>
      <c r="E237">
        <v>157.46199999999999</v>
      </c>
      <c r="F237">
        <v>215.96700000000001</v>
      </c>
      <c r="I237" t="s">
        <v>783</v>
      </c>
      <c r="J237">
        <v>1525.1489999999999</v>
      </c>
      <c r="K237">
        <v>1334.6690000000001</v>
      </c>
      <c r="L237">
        <v>1056.6759999999999</v>
      </c>
      <c r="M237">
        <v>639.30899999999997</v>
      </c>
      <c r="N237">
        <v>360.85</v>
      </c>
    </row>
    <row r="238" spans="1:14">
      <c r="A238" t="s">
        <v>835</v>
      </c>
      <c r="B238">
        <v>-1509.3430000000001</v>
      </c>
      <c r="C238">
        <v>-8.0190000000000001</v>
      </c>
      <c r="D238">
        <v>-12.311999999999999</v>
      </c>
      <c r="E238">
        <v>-1.3640000000000001</v>
      </c>
      <c r="F238">
        <v>2.8620000000000001</v>
      </c>
      <c r="I238" t="s">
        <v>836</v>
      </c>
      <c r="J238">
        <v>185</v>
      </c>
      <c r="K238">
        <v>753.03499999999997</v>
      </c>
      <c r="L238">
        <v>461.24</v>
      </c>
      <c r="M238">
        <v>0</v>
      </c>
      <c r="N238">
        <v>0</v>
      </c>
    </row>
    <row r="239" spans="1:14">
      <c r="A239" t="s">
        <v>782</v>
      </c>
      <c r="B239">
        <v>2866.4969999999998</v>
      </c>
      <c r="C239">
        <v>-21.123999999999999</v>
      </c>
      <c r="D239">
        <v>-553.005</v>
      </c>
      <c r="E239">
        <v>158.82599999999999</v>
      </c>
      <c r="F239">
        <v>213.10499999999999</v>
      </c>
      <c r="I239" t="s">
        <v>47</v>
      </c>
      <c r="J239">
        <v>8546.7980000000007</v>
      </c>
      <c r="K239">
        <v>8883.0439999999999</v>
      </c>
      <c r="L239">
        <v>8434.5159999999996</v>
      </c>
      <c r="M239">
        <v>5435.1040000000003</v>
      </c>
      <c r="N239">
        <v>4126.1040000000003</v>
      </c>
    </row>
    <row r="240" spans="1:14">
      <c r="A240" t="s">
        <v>837</v>
      </c>
      <c r="B240">
        <v>-30.55</v>
      </c>
      <c r="C240">
        <v>-30.896000000000001</v>
      </c>
      <c r="D240">
        <v>-12.257999999999999</v>
      </c>
      <c r="E240">
        <v>-7.4580000000000002</v>
      </c>
      <c r="F240">
        <v>0</v>
      </c>
      <c r="I240" t="s">
        <v>838</v>
      </c>
      <c r="J240">
        <v>1296.68</v>
      </c>
      <c r="K240">
        <v>854.88199999999995</v>
      </c>
      <c r="L240">
        <v>877.06600000000003</v>
      </c>
      <c r="M240">
        <v>0</v>
      </c>
      <c r="N240">
        <v>0</v>
      </c>
    </row>
    <row r="241" spans="1:14">
      <c r="A241" t="s">
        <v>839</v>
      </c>
      <c r="B241">
        <v>2897.047</v>
      </c>
      <c r="C241">
        <v>9.7720000000000002</v>
      </c>
      <c r="D241">
        <v>-540.74699999999996</v>
      </c>
      <c r="E241">
        <v>166.28399999999999</v>
      </c>
      <c r="F241">
        <v>213.10499999999999</v>
      </c>
      <c r="I241" t="s">
        <v>840</v>
      </c>
      <c r="J241">
        <v>278.61700000000002</v>
      </c>
      <c r="K241">
        <v>289.78800000000001</v>
      </c>
      <c r="L241">
        <v>357.41899999999998</v>
      </c>
      <c r="M241">
        <v>395.017</v>
      </c>
      <c r="N241">
        <v>389.66199999999998</v>
      </c>
    </row>
    <row r="242" spans="1:14">
      <c r="A242" t="s">
        <v>841</v>
      </c>
      <c r="B242">
        <v>4.7000000000000002E-3</v>
      </c>
      <c r="C242">
        <v>2.0000000000000002E-5</v>
      </c>
      <c r="D242">
        <v>-9.3000000000000005E-4</v>
      </c>
      <c r="E242">
        <v>3.6000000000000002E-4</v>
      </c>
      <c r="F242">
        <v>4.8000000000000001E-4</v>
      </c>
      <c r="I242" t="s">
        <v>842</v>
      </c>
      <c r="J242">
        <v>152.16399999999999</v>
      </c>
      <c r="K242">
        <v>154.97200000000001</v>
      </c>
      <c r="L242">
        <v>201.65700000000001</v>
      </c>
      <c r="M242">
        <v>222.846</v>
      </c>
      <c r="N242">
        <v>85.290999999999997</v>
      </c>
    </row>
    <row r="243" spans="1:14">
      <c r="A243" t="s">
        <v>843</v>
      </c>
      <c r="B243">
        <v>4.5599999999999998E-3</v>
      </c>
      <c r="C243">
        <v>2.0000000000000002E-5</v>
      </c>
      <c r="D243">
        <v>-9.3000000000000005E-4</v>
      </c>
      <c r="E243">
        <v>3.3E-4</v>
      </c>
      <c r="F243">
        <v>4.4000000000000002E-4</v>
      </c>
      <c r="I243" t="s">
        <v>683</v>
      </c>
      <c r="J243">
        <v>15542.633</v>
      </c>
      <c r="K243">
        <v>14338.472</v>
      </c>
      <c r="L243">
        <v>14112.985000000001</v>
      </c>
      <c r="M243">
        <v>10612.174999999999</v>
      </c>
      <c r="N243">
        <v>7187.9809999999998</v>
      </c>
    </row>
    <row r="244" spans="1:14">
      <c r="A244" t="s">
        <v>844</v>
      </c>
      <c r="B244">
        <v>616.99300000000005</v>
      </c>
      <c r="C244">
        <v>608.85599999999999</v>
      </c>
      <c r="D244">
        <v>578.94899999999996</v>
      </c>
      <c r="E244">
        <v>458.43200000000002</v>
      </c>
      <c r="F244">
        <v>443.12599999999998</v>
      </c>
      <c r="I244" t="s">
        <v>701</v>
      </c>
      <c r="J244">
        <v>19900.379000000001</v>
      </c>
      <c r="K244">
        <v>19601.991999999998</v>
      </c>
      <c r="L244">
        <v>18314.681</v>
      </c>
      <c r="M244">
        <v>3317.2550000000001</v>
      </c>
      <c r="N244">
        <v>2955.4639999999999</v>
      </c>
    </row>
    <row r="245" spans="1:14">
      <c r="A245" t="s">
        <v>845</v>
      </c>
      <c r="B245">
        <v>636.39</v>
      </c>
      <c r="C245">
        <v>614.024</v>
      </c>
      <c r="D245">
        <v>578.94899999999996</v>
      </c>
      <c r="E245">
        <v>501.779</v>
      </c>
      <c r="F245">
        <v>482.16699999999997</v>
      </c>
      <c r="I245" t="s">
        <v>846</v>
      </c>
      <c r="J245">
        <v>-1001.0650000000001</v>
      </c>
      <c r="K245">
        <v>-378.30700000000002</v>
      </c>
      <c r="L245">
        <v>-523.09</v>
      </c>
      <c r="M245">
        <v>-16.434999999999999</v>
      </c>
      <c r="N245">
        <v>0</v>
      </c>
    </row>
    <row r="246" spans="1:14">
      <c r="A246" t="s">
        <v>847</v>
      </c>
      <c r="B246">
        <v>6613.68</v>
      </c>
      <c r="C246">
        <v>6315.3010000000004</v>
      </c>
      <c r="D246">
        <v>5701.54</v>
      </c>
      <c r="E246">
        <v>4793.1459999999997</v>
      </c>
      <c r="F246">
        <v>3294.9780000000001</v>
      </c>
      <c r="I246" t="s">
        <v>848</v>
      </c>
      <c r="J246">
        <v>21267.932000000001</v>
      </c>
      <c r="K246">
        <v>18695.256000000001</v>
      </c>
      <c r="L246">
        <v>17222.879000000001</v>
      </c>
      <c r="M246">
        <v>3272.855</v>
      </c>
      <c r="N246">
        <v>2681.569</v>
      </c>
    </row>
    <row r="247" spans="1:14">
      <c r="A247" t="s">
        <v>849</v>
      </c>
      <c r="B247">
        <v>3881.0129999999999</v>
      </c>
      <c r="C247">
        <v>3702.0160000000001</v>
      </c>
      <c r="D247">
        <v>3364.0279999999998</v>
      </c>
      <c r="E247">
        <v>2719.502</v>
      </c>
      <c r="F247">
        <v>1911.848</v>
      </c>
      <c r="I247" t="s">
        <v>850</v>
      </c>
      <c r="J247">
        <v>-32.97</v>
      </c>
      <c r="K247">
        <v>-2.42</v>
      </c>
      <c r="L247">
        <v>28.475999999999999</v>
      </c>
      <c r="M247">
        <v>40.734000000000002</v>
      </c>
      <c r="N247">
        <v>0</v>
      </c>
    </row>
    <row r="248" spans="1:14">
      <c r="A248" t="s">
        <v>851</v>
      </c>
      <c r="B248">
        <v>7164.799</v>
      </c>
      <c r="C248">
        <v>5944.8419999999996</v>
      </c>
      <c r="D248">
        <v>4552.7730000000001</v>
      </c>
      <c r="E248">
        <v>2709.7310000000002</v>
      </c>
      <c r="F248">
        <v>1539.403</v>
      </c>
      <c r="I248" t="s">
        <v>852</v>
      </c>
      <c r="J248">
        <v>21234.962</v>
      </c>
      <c r="K248">
        <v>18692.835999999999</v>
      </c>
      <c r="L248">
        <v>17251.355</v>
      </c>
      <c r="M248">
        <v>3313.5889999999999</v>
      </c>
      <c r="N248">
        <v>2681.569</v>
      </c>
    </row>
    <row r="249" spans="1:14">
      <c r="A249" t="s">
        <v>853</v>
      </c>
      <c r="B249">
        <v>1135.8130000000001</v>
      </c>
      <c r="C249">
        <v>1075.1289999999999</v>
      </c>
      <c r="D249">
        <v>861.745</v>
      </c>
      <c r="E249">
        <v>483.05599999999998</v>
      </c>
      <c r="F249">
        <v>222.71199999999999</v>
      </c>
      <c r="I249" t="s">
        <v>854</v>
      </c>
      <c r="J249">
        <v>36777.595000000001</v>
      </c>
      <c r="K249">
        <v>33031.307999999997</v>
      </c>
      <c r="L249">
        <v>31364.34</v>
      </c>
      <c r="M249">
        <v>13925.763999999999</v>
      </c>
      <c r="N249">
        <v>9869.5499999999993</v>
      </c>
    </row>
    <row r="250" spans="1:14">
      <c r="A250" t="s">
        <v>855</v>
      </c>
      <c r="B250">
        <v>143.369</v>
      </c>
      <c r="C250">
        <v>157.178</v>
      </c>
      <c r="D250">
        <v>164.41800000000001</v>
      </c>
      <c r="E250">
        <v>145.679</v>
      </c>
      <c r="F250">
        <v>91.653999999999996</v>
      </c>
      <c r="I250" t="s">
        <v>856</v>
      </c>
      <c r="J250">
        <v>2504.8789999999999</v>
      </c>
      <c r="K250">
        <v>2444.6950000000002</v>
      </c>
      <c r="L250">
        <v>1871.16</v>
      </c>
      <c r="M250">
        <v>0</v>
      </c>
      <c r="N250">
        <v>0</v>
      </c>
    </row>
    <row r="251" spans="1:14">
      <c r="A251" t="s">
        <v>857</v>
      </c>
      <c r="B251">
        <v>236.441</v>
      </c>
      <c r="C251">
        <v>267.64999999999998</v>
      </c>
      <c r="D251">
        <v>286.995</v>
      </c>
      <c r="E251">
        <v>221.185</v>
      </c>
      <c r="F251">
        <v>143.90100000000001</v>
      </c>
      <c r="I251" t="s">
        <v>858</v>
      </c>
      <c r="J251">
        <v>1800.9939999999999</v>
      </c>
      <c r="K251">
        <v>9.3970000000000002</v>
      </c>
      <c r="L251">
        <v>0</v>
      </c>
      <c r="M251">
        <v>0</v>
      </c>
      <c r="N251">
        <v>0</v>
      </c>
    </row>
    <row r="252" spans="1:14">
      <c r="A252" t="s">
        <v>859</v>
      </c>
      <c r="B252">
        <v>10199.205</v>
      </c>
      <c r="C252">
        <v>9498.3019999999997</v>
      </c>
      <c r="D252">
        <v>7112.8559999999998</v>
      </c>
      <c r="E252">
        <v>10012.647000000001</v>
      </c>
      <c r="F252">
        <v>4571.5429999999997</v>
      </c>
      <c r="I252" t="s">
        <v>45</v>
      </c>
      <c r="J252">
        <v>999.49699999999996</v>
      </c>
      <c r="K252">
        <v>0</v>
      </c>
      <c r="L252">
        <v>0</v>
      </c>
      <c r="M252">
        <v>0</v>
      </c>
      <c r="N252">
        <v>0</v>
      </c>
    </row>
    <row r="253" spans="1:14">
      <c r="A253" t="s">
        <v>860</v>
      </c>
      <c r="B253">
        <v>9910.3860000000004</v>
      </c>
      <c r="C253">
        <v>9293.1129999999994</v>
      </c>
      <c r="D253">
        <v>6956.7330000000002</v>
      </c>
      <c r="E253">
        <v>9794.9920000000002</v>
      </c>
      <c r="F253">
        <v>4474.5339999999997</v>
      </c>
      <c r="I253" t="s">
        <v>681</v>
      </c>
      <c r="J253">
        <v>162.435</v>
      </c>
      <c r="K253">
        <v>35.695</v>
      </c>
      <c r="L253">
        <v>0</v>
      </c>
      <c r="M253">
        <v>0</v>
      </c>
      <c r="N253">
        <v>0</v>
      </c>
    </row>
    <row r="254" spans="1:14">
      <c r="I254" t="s">
        <v>48</v>
      </c>
      <c r="J254">
        <v>5105.9390000000003</v>
      </c>
      <c r="K254">
        <v>4120.0910000000003</v>
      </c>
      <c r="L254">
        <v>0</v>
      </c>
      <c r="M254">
        <v>4559.2079999999996</v>
      </c>
      <c r="N254">
        <v>2586.924</v>
      </c>
    </row>
    <row r="255" spans="1:14">
      <c r="I255" t="s">
        <v>861</v>
      </c>
      <c r="J255">
        <v>2368.6179999999999</v>
      </c>
      <c r="K255">
        <v>-528.42899999999997</v>
      </c>
      <c r="L255">
        <v>0</v>
      </c>
      <c r="M255">
        <v>0</v>
      </c>
      <c r="N255">
        <v>0</v>
      </c>
    </row>
    <row r="256" spans="1:14">
      <c r="I256" t="s">
        <v>862</v>
      </c>
      <c r="J256">
        <v>0</v>
      </c>
      <c r="K256">
        <v>0</v>
      </c>
      <c r="L256">
        <v>0</v>
      </c>
      <c r="M256">
        <v>64.027000000000001</v>
      </c>
      <c r="N256">
        <v>52.747</v>
      </c>
    </row>
    <row r="257" spans="1:14">
      <c r="I257" t="s">
        <v>863</v>
      </c>
      <c r="J257">
        <v>0</v>
      </c>
      <c r="K257">
        <v>0</v>
      </c>
      <c r="L257">
        <v>0</v>
      </c>
      <c r="M257">
        <v>-16.434999999999999</v>
      </c>
      <c r="N257">
        <v>23.327999999999999</v>
      </c>
    </row>
    <row r="263" spans="1:14">
      <c r="I263" s="167" t="s">
        <v>642</v>
      </c>
    </row>
    <row r="265" spans="1:14">
      <c r="A265" s="167" t="s">
        <v>642</v>
      </c>
    </row>
    <row r="281" spans="1:14">
      <c r="A281" t="s">
        <v>864</v>
      </c>
    </row>
    <row r="282" spans="1:14">
      <c r="A282" t="s">
        <v>865</v>
      </c>
      <c r="D282" t="s">
        <v>645</v>
      </c>
      <c r="I282" t="s">
        <v>864</v>
      </c>
      <c r="K282" t="s">
        <v>645</v>
      </c>
    </row>
    <row r="283" spans="1:14">
      <c r="A283" t="s">
        <v>647</v>
      </c>
      <c r="B283" t="s">
        <v>808</v>
      </c>
      <c r="C283" t="s">
        <v>809</v>
      </c>
      <c r="D283" t="s">
        <v>810</v>
      </c>
      <c r="E283" t="s">
        <v>811</v>
      </c>
      <c r="F283" t="s">
        <v>812</v>
      </c>
      <c r="I283" t="s">
        <v>647</v>
      </c>
      <c r="J283" t="s">
        <v>808</v>
      </c>
      <c r="K283" t="s">
        <v>809</v>
      </c>
      <c r="L283" t="s">
        <v>810</v>
      </c>
      <c r="M283" t="s">
        <v>811</v>
      </c>
      <c r="N283" t="s">
        <v>812</v>
      </c>
    </row>
    <row r="284" spans="1:14">
      <c r="A284" t="s">
        <v>866</v>
      </c>
      <c r="B284">
        <v>10105.894</v>
      </c>
      <c r="C284">
        <v>9654.4189999999999</v>
      </c>
      <c r="D284">
        <v>8975.5149999999994</v>
      </c>
      <c r="E284">
        <v>8523.7620000000006</v>
      </c>
      <c r="F284">
        <v>7423.558</v>
      </c>
      <c r="I284" t="s">
        <v>26</v>
      </c>
      <c r="J284">
        <v>2538.4160000000002</v>
      </c>
      <c r="K284">
        <v>2088.8870000000002</v>
      </c>
      <c r="L284">
        <v>1997.566</v>
      </c>
      <c r="M284">
        <v>1979.308</v>
      </c>
      <c r="N284">
        <v>1945.8679999999999</v>
      </c>
    </row>
    <row r="285" spans="1:14">
      <c r="A285" t="s">
        <v>867</v>
      </c>
      <c r="B285">
        <v>3760.116</v>
      </c>
      <c r="C285">
        <v>3727.5210000000002</v>
      </c>
      <c r="D285">
        <v>3778.6170000000002</v>
      </c>
      <c r="E285">
        <v>3773.7249999999999</v>
      </c>
      <c r="F285">
        <v>3650.7269999999999</v>
      </c>
      <c r="I285" t="s">
        <v>768</v>
      </c>
      <c r="J285">
        <v>1081.74</v>
      </c>
      <c r="K285">
        <v>1120.078</v>
      </c>
      <c r="L285">
        <v>998.33199999999999</v>
      </c>
      <c r="M285">
        <v>946.24699999999996</v>
      </c>
      <c r="N285">
        <v>794.17200000000003</v>
      </c>
    </row>
    <row r="286" spans="1:14">
      <c r="A286" t="s">
        <v>868</v>
      </c>
      <c r="B286">
        <v>4285.3069999999998</v>
      </c>
      <c r="C286">
        <v>4073.768</v>
      </c>
      <c r="D286">
        <v>3524.578</v>
      </c>
      <c r="E286">
        <v>3391.1610000000001</v>
      </c>
      <c r="F286">
        <v>2878.8780000000002</v>
      </c>
      <c r="I286" t="s">
        <v>869</v>
      </c>
      <c r="J286">
        <v>1620.921</v>
      </c>
      <c r="K286">
        <v>4097.4170000000004</v>
      </c>
      <c r="L286">
        <v>2519.114</v>
      </c>
      <c r="M286">
        <v>1143.539</v>
      </c>
      <c r="N286">
        <v>1230.8530000000001</v>
      </c>
    </row>
    <row r="287" spans="1:14">
      <c r="A287" t="s">
        <v>870</v>
      </c>
      <c r="B287">
        <v>0</v>
      </c>
      <c r="C287">
        <v>0</v>
      </c>
      <c r="D287">
        <v>833.07500000000005</v>
      </c>
      <c r="E287">
        <v>0</v>
      </c>
      <c r="F287">
        <v>0</v>
      </c>
      <c r="I287" t="s">
        <v>32</v>
      </c>
      <c r="J287">
        <v>795.59299999999996</v>
      </c>
      <c r="K287">
        <v>767.37699999999995</v>
      </c>
      <c r="L287">
        <v>660.32100000000003</v>
      </c>
      <c r="M287">
        <v>641.89099999999996</v>
      </c>
      <c r="N287">
        <v>621.46699999999998</v>
      </c>
    </row>
    <row r="288" spans="1:14">
      <c r="A288" t="s">
        <v>871</v>
      </c>
      <c r="B288">
        <v>-273.13400000000001</v>
      </c>
      <c r="C288">
        <v>136.744</v>
      </c>
      <c r="D288">
        <v>199.09399999999999</v>
      </c>
      <c r="E288">
        <v>0</v>
      </c>
      <c r="F288">
        <v>0</v>
      </c>
      <c r="I288" t="s">
        <v>33</v>
      </c>
      <c r="J288">
        <v>6036.67</v>
      </c>
      <c r="K288">
        <v>8073.759</v>
      </c>
      <c r="L288">
        <v>6314.1480000000001</v>
      </c>
      <c r="M288">
        <v>4710.9849999999997</v>
      </c>
      <c r="N288">
        <v>4592.3599999999997</v>
      </c>
    </row>
    <row r="289" spans="1:14">
      <c r="A289" t="s">
        <v>872</v>
      </c>
      <c r="B289">
        <v>7772.2889999999998</v>
      </c>
      <c r="C289">
        <v>7938.0330000000004</v>
      </c>
      <c r="D289">
        <v>8335.3639999999996</v>
      </c>
      <c r="E289">
        <v>7164.8860000000004</v>
      </c>
      <c r="F289">
        <v>6529.6049999999996</v>
      </c>
      <c r="I289" t="s">
        <v>36</v>
      </c>
      <c r="J289">
        <v>26286.317999999999</v>
      </c>
      <c r="K289">
        <v>26743.523000000001</v>
      </c>
      <c r="L289">
        <v>23320.736000000001</v>
      </c>
      <c r="M289">
        <v>24813.274000000001</v>
      </c>
      <c r="N289">
        <v>23871.451000000001</v>
      </c>
    </row>
    <row r="290" spans="1:14">
      <c r="A290" t="s">
        <v>9</v>
      </c>
      <c r="B290">
        <v>2333.605</v>
      </c>
      <c r="C290">
        <v>1716.386</v>
      </c>
      <c r="D290">
        <v>640.15099999999995</v>
      </c>
      <c r="E290">
        <v>1358.876</v>
      </c>
      <c r="F290">
        <v>893.95299999999997</v>
      </c>
      <c r="I290" t="s">
        <v>37</v>
      </c>
      <c r="J290">
        <v>8931.9429999999993</v>
      </c>
      <c r="K290">
        <v>10168.046</v>
      </c>
      <c r="L290">
        <v>9658.3739999999998</v>
      </c>
      <c r="M290">
        <v>11633.709000000001</v>
      </c>
      <c r="N290">
        <v>12015.883</v>
      </c>
    </row>
    <row r="291" spans="1:14">
      <c r="A291" t="s">
        <v>873</v>
      </c>
      <c r="B291">
        <v>169.16800000000001</v>
      </c>
      <c r="C291">
        <v>113.711</v>
      </c>
      <c r="D291">
        <v>33.603999999999999</v>
      </c>
      <c r="E291">
        <v>19.32</v>
      </c>
      <c r="F291">
        <v>43.551000000000002</v>
      </c>
      <c r="I291" t="s">
        <v>778</v>
      </c>
      <c r="J291">
        <v>2277.5929999999998</v>
      </c>
      <c r="K291">
        <v>2190.0050000000001</v>
      </c>
      <c r="L291">
        <v>1838.809</v>
      </c>
      <c r="M291">
        <v>1687.586</v>
      </c>
      <c r="N291">
        <v>1578.5319999999999</v>
      </c>
    </row>
    <row r="292" spans="1:14">
      <c r="A292" t="s">
        <v>874</v>
      </c>
      <c r="B292">
        <v>-633.98599999999999</v>
      </c>
      <c r="C292">
        <v>-660.15</v>
      </c>
      <c r="D292">
        <v>-449.43299999999999</v>
      </c>
      <c r="E292">
        <v>-333.65100000000001</v>
      </c>
      <c r="F292">
        <v>-343.548</v>
      </c>
      <c r="I292" t="s">
        <v>35</v>
      </c>
      <c r="J292">
        <v>1832.9960000000001</v>
      </c>
      <c r="K292">
        <v>2242.105</v>
      </c>
      <c r="L292">
        <v>2428.4119999999998</v>
      </c>
      <c r="M292">
        <v>2793.4270000000001</v>
      </c>
      <c r="N292">
        <v>2948.39</v>
      </c>
    </row>
    <row r="293" spans="1:14">
      <c r="A293" t="s">
        <v>875</v>
      </c>
      <c r="B293">
        <v>-464.81799999999998</v>
      </c>
      <c r="C293">
        <v>-546.43899999999996</v>
      </c>
      <c r="D293">
        <v>-415.82900000000001</v>
      </c>
      <c r="E293">
        <v>-314.33100000000002</v>
      </c>
      <c r="F293">
        <v>-299.99700000000001</v>
      </c>
      <c r="I293" t="s">
        <v>876</v>
      </c>
      <c r="J293">
        <v>2479.3510000000001</v>
      </c>
      <c r="K293">
        <v>2570.018</v>
      </c>
      <c r="L293">
        <v>2343.241</v>
      </c>
      <c r="M293">
        <v>2422.0419999999999</v>
      </c>
      <c r="N293">
        <v>2135.692</v>
      </c>
    </row>
    <row r="294" spans="1:14">
      <c r="A294" t="s">
        <v>877</v>
      </c>
      <c r="B294">
        <v>1868.787</v>
      </c>
      <c r="C294">
        <v>1169.9469999999999</v>
      </c>
      <c r="D294">
        <v>224.322</v>
      </c>
      <c r="E294">
        <v>1044.5450000000001</v>
      </c>
      <c r="F294">
        <v>593.95600000000002</v>
      </c>
      <c r="I294" t="s">
        <v>668</v>
      </c>
      <c r="J294">
        <v>46890.254999999997</v>
      </c>
      <c r="K294">
        <v>50570.186000000002</v>
      </c>
      <c r="L294">
        <v>44809.014000000003</v>
      </c>
      <c r="M294">
        <v>45279.713000000003</v>
      </c>
      <c r="N294">
        <v>44201.544999999998</v>
      </c>
    </row>
    <row r="295" spans="1:14">
      <c r="A295" t="s">
        <v>17</v>
      </c>
      <c r="B295">
        <v>295.13299999999998</v>
      </c>
      <c r="C295">
        <v>209.02</v>
      </c>
      <c r="D295">
        <v>166.69399999999999</v>
      </c>
      <c r="E295">
        <v>169.03399999999999</v>
      </c>
      <c r="F295">
        <v>77.153000000000006</v>
      </c>
      <c r="I295" t="s">
        <v>878</v>
      </c>
      <c r="J295">
        <v>503.40699999999998</v>
      </c>
      <c r="K295">
        <v>981.24400000000003</v>
      </c>
      <c r="L295">
        <v>747.11099999999999</v>
      </c>
      <c r="M295">
        <v>484.202</v>
      </c>
      <c r="N295">
        <v>358.69799999999998</v>
      </c>
    </row>
    <row r="296" spans="1:14">
      <c r="A296" t="s">
        <v>879</v>
      </c>
      <c r="B296">
        <v>1573.654</v>
      </c>
      <c r="C296">
        <v>960.92700000000002</v>
      </c>
      <c r="D296">
        <v>57.628</v>
      </c>
      <c r="E296">
        <v>875.51099999999997</v>
      </c>
      <c r="F296">
        <v>516.803</v>
      </c>
      <c r="I296" t="s">
        <v>45</v>
      </c>
      <c r="J296">
        <v>1075.7080000000001</v>
      </c>
      <c r="K296">
        <v>620.58500000000004</v>
      </c>
      <c r="L296">
        <v>1169.33</v>
      </c>
      <c r="M296">
        <v>78.504999999999995</v>
      </c>
      <c r="N296">
        <v>827.35699999999997</v>
      </c>
    </row>
    <row r="297" spans="1:14">
      <c r="A297" t="s">
        <v>880</v>
      </c>
      <c r="B297">
        <v>70.498999999999995</v>
      </c>
      <c r="C297">
        <v>67.896000000000001</v>
      </c>
      <c r="D297">
        <v>85.685000000000002</v>
      </c>
      <c r="E297">
        <v>112.35299999999999</v>
      </c>
      <c r="F297">
        <v>88.296999999999997</v>
      </c>
      <c r="I297" t="s">
        <v>881</v>
      </c>
      <c r="J297">
        <v>3079.924</v>
      </c>
      <c r="K297">
        <v>2824.9789999999998</v>
      </c>
      <c r="L297">
        <v>2442.56</v>
      </c>
      <c r="M297">
        <v>2542.2559999999999</v>
      </c>
      <c r="N297">
        <v>2061.384</v>
      </c>
    </row>
    <row r="298" spans="1:14">
      <c r="A298" t="s">
        <v>68</v>
      </c>
      <c r="B298">
        <v>1644.153</v>
      </c>
      <c r="C298">
        <v>1028.8230000000001</v>
      </c>
      <c r="D298">
        <v>143.31299999999999</v>
      </c>
      <c r="E298">
        <v>987.86400000000003</v>
      </c>
      <c r="F298">
        <v>605.1</v>
      </c>
      <c r="I298" t="s">
        <v>882</v>
      </c>
      <c r="J298">
        <v>1593.675</v>
      </c>
      <c r="K298">
        <v>3698.9209999999998</v>
      </c>
      <c r="L298">
        <v>2413.799</v>
      </c>
      <c r="M298">
        <v>1358.0509999999999</v>
      </c>
      <c r="N298">
        <v>1301.652</v>
      </c>
    </row>
    <row r="299" spans="1:14">
      <c r="A299" t="s">
        <v>883</v>
      </c>
      <c r="B299">
        <v>-73.787999999999997</v>
      </c>
      <c r="C299">
        <v>-42.59</v>
      </c>
      <c r="D299">
        <v>-31.82</v>
      </c>
      <c r="E299">
        <v>-22.404</v>
      </c>
      <c r="F299">
        <v>-20.58</v>
      </c>
      <c r="I299" t="s">
        <v>47</v>
      </c>
      <c r="J299">
        <v>6252.7139999999999</v>
      </c>
      <c r="K299">
        <v>8125.7290000000003</v>
      </c>
      <c r="L299">
        <v>6898.6909999999998</v>
      </c>
      <c r="M299">
        <v>4463.0140000000001</v>
      </c>
      <c r="N299">
        <v>4549.0910000000003</v>
      </c>
    </row>
    <row r="300" spans="1:14">
      <c r="A300" t="s">
        <v>884</v>
      </c>
      <c r="B300">
        <v>1570.365</v>
      </c>
      <c r="C300">
        <v>986.23299999999995</v>
      </c>
      <c r="D300">
        <v>111.49299999999999</v>
      </c>
      <c r="E300">
        <v>965.46</v>
      </c>
      <c r="F300">
        <v>584.52</v>
      </c>
      <c r="I300" t="s">
        <v>48</v>
      </c>
      <c r="J300">
        <v>15164.659</v>
      </c>
      <c r="K300">
        <v>15692.297</v>
      </c>
      <c r="L300">
        <v>12289.248</v>
      </c>
      <c r="M300">
        <v>11414.808999999999</v>
      </c>
      <c r="N300">
        <v>8466.4069999999992</v>
      </c>
    </row>
    <row r="301" spans="1:14">
      <c r="A301" t="s">
        <v>841</v>
      </c>
      <c r="B301">
        <v>6.1799999999999997E-3</v>
      </c>
      <c r="C301">
        <v>3.7799999999999999E-3</v>
      </c>
      <c r="D301">
        <v>4.0999999999999999E-4</v>
      </c>
      <c r="E301">
        <v>3.3E-3</v>
      </c>
      <c r="F301">
        <v>1.9499999999999999E-3</v>
      </c>
      <c r="I301" t="s">
        <v>885</v>
      </c>
      <c r="J301">
        <v>623.31899999999996</v>
      </c>
      <c r="K301">
        <v>722.54</v>
      </c>
      <c r="L301">
        <v>647.97500000000002</v>
      </c>
      <c r="M301">
        <v>739.04600000000005</v>
      </c>
      <c r="N301">
        <v>750.61300000000006</v>
      </c>
    </row>
    <row r="302" spans="1:14">
      <c r="A302" t="s">
        <v>843</v>
      </c>
      <c r="B302">
        <v>6.1600000000000014E-3</v>
      </c>
      <c r="C302">
        <v>3.7699999999999999E-3</v>
      </c>
      <c r="D302">
        <v>4.0000000000000002E-4</v>
      </c>
      <c r="E302">
        <v>3.29E-3</v>
      </c>
      <c r="F302">
        <v>1.9499999999999999E-3</v>
      </c>
      <c r="I302" t="s">
        <v>683</v>
      </c>
      <c r="J302">
        <v>23873.687999999998</v>
      </c>
      <c r="K302">
        <v>26782.670999999998</v>
      </c>
      <c r="L302">
        <v>22268.804</v>
      </c>
      <c r="M302">
        <v>19410.295999999998</v>
      </c>
      <c r="N302">
        <v>16714.501</v>
      </c>
    </row>
    <row r="303" spans="1:14">
      <c r="I303" t="s">
        <v>886</v>
      </c>
      <c r="J303">
        <v>18118.941999999999</v>
      </c>
      <c r="K303">
        <v>19800.953000000001</v>
      </c>
      <c r="L303">
        <v>19978.095000000001</v>
      </c>
      <c r="M303">
        <v>22880.260999999999</v>
      </c>
      <c r="N303">
        <v>24963.769</v>
      </c>
    </row>
    <row r="304" spans="1:14">
      <c r="A304" s="167" t="s">
        <v>642</v>
      </c>
      <c r="I304" t="s">
        <v>56</v>
      </c>
      <c r="J304">
        <v>4774.7359999999999</v>
      </c>
      <c r="K304">
        <v>3457.1819999999998</v>
      </c>
      <c r="L304">
        <v>2731.38</v>
      </c>
      <c r="M304">
        <v>2982.1219999999998</v>
      </c>
      <c r="N304">
        <v>2570.8739999999998</v>
      </c>
    </row>
    <row r="305" spans="9:14">
      <c r="I305" t="s">
        <v>846</v>
      </c>
      <c r="J305">
        <v>-612.99199999999996</v>
      </c>
      <c r="K305">
        <v>-258.92500000000001</v>
      </c>
      <c r="L305">
        <v>-405.96899999999999</v>
      </c>
      <c r="M305">
        <v>-234.18199999999999</v>
      </c>
      <c r="N305">
        <v>-202.273</v>
      </c>
    </row>
    <row r="306" spans="9:14">
      <c r="I306" t="s">
        <v>887</v>
      </c>
      <c r="J306">
        <v>22280.686000000002</v>
      </c>
      <c r="K306">
        <v>22999.21</v>
      </c>
      <c r="L306">
        <v>22303.506000000001</v>
      </c>
      <c r="M306">
        <v>25628.201000000001</v>
      </c>
      <c r="N306">
        <v>27332.37</v>
      </c>
    </row>
    <row r="307" spans="9:14">
      <c r="I307" t="s">
        <v>850</v>
      </c>
      <c r="J307">
        <v>0</v>
      </c>
      <c r="K307">
        <v>0</v>
      </c>
      <c r="L307">
        <v>0</v>
      </c>
      <c r="M307">
        <v>241.21600000000001</v>
      </c>
      <c r="N307">
        <v>154.67400000000001</v>
      </c>
    </row>
    <row r="308" spans="9:14">
      <c r="I308" t="s">
        <v>696</v>
      </c>
      <c r="J308">
        <v>22855.944</v>
      </c>
      <c r="K308">
        <v>23279.55</v>
      </c>
      <c r="L308">
        <v>22540.21</v>
      </c>
      <c r="M308">
        <v>25869.417000000001</v>
      </c>
      <c r="N308">
        <v>27487.044000000002</v>
      </c>
    </row>
    <row r="309" spans="9:14">
      <c r="I309" t="s">
        <v>888</v>
      </c>
      <c r="J309">
        <v>0</v>
      </c>
      <c r="K309">
        <v>6.4509999999999996</v>
      </c>
      <c r="L309">
        <v>138.815</v>
      </c>
      <c r="M309">
        <v>0</v>
      </c>
      <c r="N309">
        <v>0</v>
      </c>
    </row>
    <row r="310" spans="9:14">
      <c r="I310" t="s">
        <v>889</v>
      </c>
      <c r="J310">
        <v>0</v>
      </c>
      <c r="K310">
        <v>0.32700000000000001</v>
      </c>
      <c r="L310">
        <v>1295.799</v>
      </c>
      <c r="M310">
        <v>0</v>
      </c>
      <c r="N310">
        <v>0</v>
      </c>
    </row>
    <row r="311" spans="9:14">
      <c r="I311" t="s">
        <v>890</v>
      </c>
      <c r="J311">
        <v>772.29700000000003</v>
      </c>
      <c r="K311">
        <v>713.12300000000005</v>
      </c>
      <c r="L311">
        <v>0</v>
      </c>
      <c r="M311">
        <v>0</v>
      </c>
      <c r="N311">
        <v>0</v>
      </c>
    </row>
    <row r="312" spans="9:14">
      <c r="I312" t="s">
        <v>891</v>
      </c>
      <c r="J312">
        <v>0</v>
      </c>
      <c r="K312">
        <v>1.341</v>
      </c>
      <c r="L312">
        <v>125.89100000000001</v>
      </c>
      <c r="M312">
        <v>0</v>
      </c>
      <c r="N312">
        <v>0</v>
      </c>
    </row>
    <row r="313" spans="9:14">
      <c r="I313" t="s">
        <v>892</v>
      </c>
      <c r="J313">
        <v>0</v>
      </c>
      <c r="K313">
        <v>0</v>
      </c>
      <c r="L313">
        <v>4.4779999999999998</v>
      </c>
      <c r="M313">
        <v>0</v>
      </c>
      <c r="N313">
        <v>0</v>
      </c>
    </row>
    <row r="314" spans="9:14">
      <c r="I314" t="s">
        <v>893</v>
      </c>
      <c r="J314">
        <v>160.62299999999999</v>
      </c>
      <c r="K314">
        <v>507.96499999999997</v>
      </c>
      <c r="L314">
        <v>0</v>
      </c>
      <c r="M314">
        <v>0</v>
      </c>
      <c r="N314">
        <v>0</v>
      </c>
    </row>
    <row r="315" spans="9:14">
      <c r="I315" t="s">
        <v>894</v>
      </c>
      <c r="J315">
        <v>575.25800000000004</v>
      </c>
      <c r="K315">
        <v>280.33999999999997</v>
      </c>
      <c r="L315">
        <v>236.70400000000001</v>
      </c>
      <c r="M315">
        <v>0</v>
      </c>
      <c r="N315">
        <v>0</v>
      </c>
    </row>
    <row r="316" spans="9:14">
      <c r="I316" t="s">
        <v>895</v>
      </c>
      <c r="J316">
        <v>46890.254999999997</v>
      </c>
      <c r="K316">
        <v>50570.186000000002</v>
      </c>
      <c r="L316">
        <v>44809.014000000003</v>
      </c>
      <c r="M316">
        <v>0</v>
      </c>
      <c r="N316">
        <v>0</v>
      </c>
    </row>
    <row r="318" spans="9:14">
      <c r="I318" s="167" t="s">
        <v>642</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B3147-D337-44B2-AAB5-C79DA9B40D8E}">
  <dimension ref="A1:G760"/>
  <sheetViews>
    <sheetView zoomScale="85" workbookViewId="0"/>
  </sheetViews>
  <sheetFormatPr defaultRowHeight="14"/>
  <cols>
    <col min="1" max="1" width="13.83203125" customWidth="1"/>
    <col min="2" max="2" width="15.58203125" customWidth="1"/>
    <col min="3" max="3" width="14.75" customWidth="1"/>
    <col min="4" max="4" width="16.83203125" customWidth="1"/>
    <col min="5" max="5" width="17" customWidth="1"/>
    <col min="6" max="6" width="16.1640625" customWidth="1"/>
    <col min="7" max="7" width="14.58203125" customWidth="1"/>
  </cols>
  <sheetData>
    <row r="1" spans="1:7" ht="12" customHeight="1">
      <c r="A1" s="3" t="s">
        <v>236</v>
      </c>
      <c r="B1" s="3" t="s">
        <v>237</v>
      </c>
      <c r="C1" s="3" t="s">
        <v>238</v>
      </c>
      <c r="D1" s="3" t="s">
        <v>521</v>
      </c>
      <c r="E1" s="3" t="s">
        <v>522</v>
      </c>
      <c r="F1" s="60" t="s">
        <v>331</v>
      </c>
      <c r="G1" s="61"/>
    </row>
    <row r="2" spans="1:7" ht="14.25" customHeight="1">
      <c r="A2" s="62">
        <v>45322</v>
      </c>
      <c r="B2" s="63">
        <v>4845.6499999999996</v>
      </c>
      <c r="C2" s="6">
        <v>449.23</v>
      </c>
      <c r="D2" s="6"/>
      <c r="E2" s="6"/>
      <c r="F2" s="5" t="s">
        <v>330</v>
      </c>
      <c r="G2" s="5" t="s">
        <v>329</v>
      </c>
    </row>
    <row r="3" spans="1:7">
      <c r="A3" s="62">
        <v>45321</v>
      </c>
      <c r="B3" s="63">
        <v>4924.97</v>
      </c>
      <c r="C3" s="6">
        <v>445.19</v>
      </c>
      <c r="D3" s="6">
        <f>(B2-Table21[[#This Row],[Index Close]])/Table21[[#This Row],[Index Close]]</f>
        <v>-1.6105681862021621E-2</v>
      </c>
      <c r="E3" s="6">
        <f>(C2-Table21[[#This Row],[Stock Close]])/Table21[[#This Row],[Stock Close]]</f>
        <v>9.0747770614794145E-3</v>
      </c>
      <c r="F3" s="6"/>
      <c r="G3" s="6"/>
    </row>
    <row r="4" spans="1:7">
      <c r="A4" s="62">
        <v>45320</v>
      </c>
      <c r="B4" s="63">
        <v>4927.93</v>
      </c>
      <c r="C4" s="6">
        <v>440.58</v>
      </c>
      <c r="D4" s="6">
        <f>(B3-Table21[[#This Row],[Index Close]])/Table21[[#This Row],[Index Close]]</f>
        <v>-6.0065788272155578E-4</v>
      </c>
      <c r="E4" s="6">
        <f>(C3-Table21[[#This Row],[Stock Close]])/Table21[[#This Row],[Stock Close]]</f>
        <v>1.0463479958236901E-2</v>
      </c>
      <c r="F4" s="6" t="s">
        <v>239</v>
      </c>
      <c r="G4" s="6" t="s">
        <v>112</v>
      </c>
    </row>
    <row r="5" spans="1:7">
      <c r="A5" s="62">
        <v>45317</v>
      </c>
      <c r="B5" s="63">
        <v>4890.97</v>
      </c>
      <c r="C5" s="6">
        <v>438.53</v>
      </c>
      <c r="D5" s="6">
        <f>(B4-Table21[[#This Row],[Index Close]])/Table21[[#This Row],[Index Close]]</f>
        <v>7.5567832147815329E-3</v>
      </c>
      <c r="E5" s="6">
        <f>(C4-Table21[[#This Row],[Stock Close]])/Table21[[#This Row],[Stock Close]]</f>
        <v>4.6747086858367993E-3</v>
      </c>
      <c r="F5" s="6" t="s">
        <v>239</v>
      </c>
      <c r="G5" s="6">
        <f t="shared" ref="G5:G6" si="0">SLOPE(E3:E600, D3:D600)</f>
        <v>1.0378472999489661</v>
      </c>
    </row>
    <row r="6" spans="1:7">
      <c r="A6" s="62">
        <v>45316</v>
      </c>
      <c r="B6" s="63">
        <v>4894.16</v>
      </c>
      <c r="C6" s="6">
        <v>436.8</v>
      </c>
      <c r="D6" s="6">
        <f>(B5-Table21[[#This Row],[Index Close]])/Table21[[#This Row],[Index Close]]</f>
        <v>-6.5179724406222927E-4</v>
      </c>
      <c r="E6" s="6">
        <f>(C5-Table21[[#This Row],[Stock Close]])/Table21[[#This Row],[Stock Close]]</f>
        <v>3.960622710622622E-3</v>
      </c>
      <c r="F6" s="6"/>
      <c r="G6" s="6">
        <f t="shared" si="0"/>
        <v>1.043274641413412</v>
      </c>
    </row>
    <row r="7" spans="1:7">
      <c r="A7" s="62">
        <v>45315</v>
      </c>
      <c r="B7" s="63">
        <v>4868.55</v>
      </c>
      <c r="C7" s="6">
        <v>438.7</v>
      </c>
      <c r="D7" s="6">
        <f>(B6-Table21[[#This Row],[Index Close]])/Table21[[#This Row],[Index Close]]</f>
        <v>5.2602931057501049E-3</v>
      </c>
      <c r="E7" s="6">
        <f>(C6-Table21[[#This Row],[Stock Close]])/Table21[[#This Row],[Stock Close]]</f>
        <v>-4.330977889218093E-3</v>
      </c>
      <c r="F7" s="6" t="s">
        <v>203</v>
      </c>
      <c r="G7" s="6" t="s">
        <v>112</v>
      </c>
    </row>
    <row r="8" spans="1:7">
      <c r="A8" s="62">
        <v>45314</v>
      </c>
      <c r="B8" s="63">
        <v>4864.6000000000004</v>
      </c>
      <c r="C8" s="6">
        <v>438.76</v>
      </c>
      <c r="D8" s="6">
        <f>(B7-Table21[[#This Row],[Index Close]])/Table21[[#This Row],[Index Close]]</f>
        <v>8.119886527154993E-4</v>
      </c>
      <c r="E8" s="6">
        <f>(C7-Table21[[#This Row],[Stock Close]])/Table21[[#This Row],[Stock Close]]</f>
        <v>-1.367490199653621E-4</v>
      </c>
      <c r="F8" s="64" t="s">
        <v>203</v>
      </c>
      <c r="G8" s="65">
        <f>_xlfn.COVARIANCE.P(E3:E600, D3:D600) / _xlfn.VAR.P(D3:D600)</f>
        <v>1.0378472999489652</v>
      </c>
    </row>
    <row r="9" spans="1:7">
      <c r="A9" s="62">
        <v>45313</v>
      </c>
      <c r="B9" s="63">
        <v>4850.43</v>
      </c>
      <c r="C9" s="6">
        <v>439.75</v>
      </c>
      <c r="D9" s="6">
        <f>(B8-Table21[[#This Row],[Index Close]])/Table21[[#This Row],[Index Close]]</f>
        <v>2.9213904746589626E-3</v>
      </c>
      <c r="E9" s="6">
        <f>(C8-Table21[[#This Row],[Stock Close]])/Table21[[#This Row],[Stock Close]]</f>
        <v>-2.2512791358726757E-3</v>
      </c>
      <c r="F9" s="6"/>
      <c r="G9" s="6"/>
    </row>
    <row r="10" spans="1:7">
      <c r="A10" s="62">
        <v>45310</v>
      </c>
      <c r="B10" s="63">
        <v>4839.8100000000004</v>
      </c>
      <c r="C10" s="6">
        <v>436.78</v>
      </c>
      <c r="D10" s="6">
        <f>(B9-Table21[[#This Row],[Index Close]])/Table21[[#This Row],[Index Close]]</f>
        <v>2.1943010159489506E-3</v>
      </c>
      <c r="E10" s="6">
        <f>(C9-Table21[[#This Row],[Stock Close]])/Table21[[#This Row],[Stock Close]]</f>
        <v>6.7997618938596717E-3</v>
      </c>
      <c r="F10" s="6"/>
      <c r="G10" s="6"/>
    </row>
    <row r="11" spans="1:7">
      <c r="A11" s="62">
        <v>45309</v>
      </c>
      <c r="B11" s="63">
        <v>4780.9399999999996</v>
      </c>
      <c r="C11" s="6">
        <v>430.72</v>
      </c>
      <c r="D11" s="6">
        <f>(B10-Table21[[#This Row],[Index Close]])/Table21[[#This Row],[Index Close]]</f>
        <v>1.2313478102632705E-2</v>
      </c>
      <c r="E11" s="6">
        <f>(C10-Table21[[#This Row],[Stock Close]])/Table21[[#This Row],[Stock Close]]</f>
        <v>1.4069465081723498E-2</v>
      </c>
      <c r="F11" s="6"/>
      <c r="G11" s="6"/>
    </row>
    <row r="12" spans="1:7">
      <c r="A12" s="62">
        <v>45308</v>
      </c>
      <c r="B12" s="63">
        <v>4739.21</v>
      </c>
      <c r="C12" s="6">
        <v>427.42</v>
      </c>
      <c r="D12" s="6">
        <f>(B11-Table21[[#This Row],[Index Close]])/Table21[[#This Row],[Index Close]]</f>
        <v>8.8052650125230916E-3</v>
      </c>
      <c r="E12" s="6">
        <f>(C11-Table21[[#This Row],[Stock Close]])/Table21[[#This Row],[Stock Close]]</f>
        <v>7.7207430630293651E-3</v>
      </c>
      <c r="F12" s="6"/>
      <c r="G12" s="6"/>
    </row>
    <row r="13" spans="1:7">
      <c r="A13" s="62">
        <v>45307</v>
      </c>
      <c r="B13" s="63">
        <v>4765.9799999999996</v>
      </c>
      <c r="C13" s="6">
        <v>428.35</v>
      </c>
      <c r="D13" s="6">
        <f>(B12-Table21[[#This Row],[Index Close]])/Table21[[#This Row],[Index Close]]</f>
        <v>-5.6168930629166575E-3</v>
      </c>
      <c r="E13" s="6">
        <f>(C12-Table21[[#This Row],[Stock Close]])/Table21[[#This Row],[Stock Close]]</f>
        <v>-2.171121746235571E-3</v>
      </c>
      <c r="F13" s="6"/>
      <c r="G13" s="6"/>
    </row>
    <row r="14" spans="1:7">
      <c r="A14" s="62">
        <v>45303</v>
      </c>
      <c r="B14" s="63">
        <v>4783.83</v>
      </c>
      <c r="C14" s="6">
        <v>429.1</v>
      </c>
      <c r="D14" s="6">
        <f>(B13-Table21[[#This Row],[Index Close]])/Table21[[#This Row],[Index Close]]</f>
        <v>-3.7313198838588254E-3</v>
      </c>
      <c r="E14" s="6">
        <f>(C13-Table21[[#This Row],[Stock Close]])/Table21[[#This Row],[Stock Close]]</f>
        <v>-1.7478443253320904E-3</v>
      </c>
      <c r="F14" s="6"/>
      <c r="G14" s="6"/>
    </row>
    <row r="15" spans="1:7">
      <c r="A15" s="62">
        <v>45302</v>
      </c>
      <c r="B15" s="63">
        <v>4780.24</v>
      </c>
      <c r="C15" s="6">
        <v>426.72</v>
      </c>
      <c r="D15" s="6">
        <f>(B14-Table21[[#This Row],[Index Close]])/Table21[[#This Row],[Index Close]]</f>
        <v>7.5100831757404351E-4</v>
      </c>
      <c r="E15" s="6">
        <f>(C14-Table21[[#This Row],[Stock Close]])/Table21[[#This Row],[Stock Close]]</f>
        <v>5.5774278215222984E-3</v>
      </c>
      <c r="F15" s="6"/>
      <c r="G15" s="6"/>
    </row>
    <row r="16" spans="1:7">
      <c r="A16" s="62">
        <v>45301</v>
      </c>
      <c r="B16" s="63">
        <v>4783.45</v>
      </c>
      <c r="C16" s="6">
        <v>428.27</v>
      </c>
      <c r="D16" s="6">
        <f>(B15-Table21[[#This Row],[Index Close]])/Table21[[#This Row],[Index Close]]</f>
        <v>-6.7106377196375763E-4</v>
      </c>
      <c r="E16" s="6">
        <f>(C15-Table21[[#This Row],[Stock Close]])/Table21[[#This Row],[Stock Close]]</f>
        <v>-3.6192121792326211E-3</v>
      </c>
      <c r="F16" s="6"/>
      <c r="G16" s="6"/>
    </row>
    <row r="17" spans="1:7">
      <c r="A17" s="62">
        <v>45300</v>
      </c>
      <c r="B17" s="63">
        <v>4756.5</v>
      </c>
      <c r="C17" s="6">
        <v>422.6</v>
      </c>
      <c r="D17" s="6">
        <f>(B16-Table21[[#This Row],[Index Close]])/Table21[[#This Row],[Index Close]]</f>
        <v>5.6659308314937068E-3</v>
      </c>
      <c r="E17" s="6">
        <f>(C16-Table21[[#This Row],[Stock Close]])/Table21[[#This Row],[Stock Close]]</f>
        <v>1.3416942735447133E-2</v>
      </c>
      <c r="F17" s="6"/>
      <c r="G17" s="6"/>
    </row>
    <row r="18" spans="1:7">
      <c r="A18" s="62">
        <v>45299</v>
      </c>
      <c r="B18" s="63">
        <v>4763.54</v>
      </c>
      <c r="C18" s="6">
        <v>421.98</v>
      </c>
      <c r="D18" s="6">
        <f>(B17-Table21[[#This Row],[Index Close]])/Table21[[#This Row],[Index Close]]</f>
        <v>-1.4778924917183364E-3</v>
      </c>
      <c r="E18" s="6">
        <f>(C17-Table21[[#This Row],[Stock Close]])/Table21[[#This Row],[Stock Close]]</f>
        <v>1.4692639461585965E-3</v>
      </c>
      <c r="F18" s="6"/>
      <c r="G18" s="6"/>
    </row>
    <row r="19" spans="1:7">
      <c r="A19" s="62">
        <v>45296</v>
      </c>
      <c r="B19" s="63">
        <v>4697.24</v>
      </c>
      <c r="C19" s="6">
        <v>419.42</v>
      </c>
      <c r="D19" s="6">
        <f>(B18-Table21[[#This Row],[Index Close]])/Table21[[#This Row],[Index Close]]</f>
        <v>1.4114671594383123E-2</v>
      </c>
      <c r="E19" s="6">
        <f>(C18-Table21[[#This Row],[Stock Close]])/Table21[[#This Row],[Stock Close]]</f>
        <v>6.1036669686710269E-3</v>
      </c>
      <c r="F19" s="6"/>
      <c r="G19" s="6"/>
    </row>
    <row r="20" spans="1:7">
      <c r="A20" s="62">
        <v>45295</v>
      </c>
      <c r="B20" s="63">
        <v>4688.68</v>
      </c>
      <c r="C20" s="6">
        <v>419.77</v>
      </c>
      <c r="D20" s="6">
        <f>(B19-Table21[[#This Row],[Index Close]])/Table21[[#This Row],[Index Close]]</f>
        <v>1.8256737503944587E-3</v>
      </c>
      <c r="E20" s="6">
        <f>(C19-Table21[[#This Row],[Stock Close]])/Table21[[#This Row],[Stock Close]]</f>
        <v>-8.337899325820471E-4</v>
      </c>
      <c r="F20" s="6"/>
      <c r="G20" s="6"/>
    </row>
    <row r="21" spans="1:7">
      <c r="A21" s="62">
        <v>45294</v>
      </c>
      <c r="B21" s="63">
        <v>4704.8100000000004</v>
      </c>
      <c r="C21" s="6">
        <v>418.77</v>
      </c>
      <c r="D21" s="6">
        <f>(B20-Table21[[#This Row],[Index Close]])/Table21[[#This Row],[Index Close]]</f>
        <v>-3.4284062480738025E-3</v>
      </c>
      <c r="E21" s="6">
        <f>(C20-Table21[[#This Row],[Stock Close]])/Table21[[#This Row],[Stock Close]]</f>
        <v>2.3879456503569981E-3</v>
      </c>
      <c r="F21" s="6"/>
      <c r="G21" s="6"/>
    </row>
    <row r="22" spans="1:7">
      <c r="A22" s="62">
        <v>45293</v>
      </c>
      <c r="B22" s="63">
        <v>4742.83</v>
      </c>
      <c r="C22" s="6">
        <v>421.89</v>
      </c>
      <c r="D22" s="6">
        <f>(B21-Table21[[#This Row],[Index Close]])/Table21[[#This Row],[Index Close]]</f>
        <v>-8.0163109367191159E-3</v>
      </c>
      <c r="E22" s="6">
        <f>(C21-Table21[[#This Row],[Stock Close]])/Table21[[#This Row],[Stock Close]]</f>
        <v>-7.3952926118182579E-3</v>
      </c>
      <c r="F22" s="6"/>
      <c r="G22" s="6"/>
    </row>
    <row r="23" spans="1:7">
      <c r="A23" s="62">
        <v>45289</v>
      </c>
      <c r="B23" s="63">
        <v>4769.83</v>
      </c>
      <c r="C23" s="6">
        <v>426.51</v>
      </c>
      <c r="D23" s="6">
        <f>(B22-Table21[[#This Row],[Index Close]])/Table21[[#This Row],[Index Close]]</f>
        <v>-5.6605790982068548E-3</v>
      </c>
      <c r="E23" s="6">
        <f>(C22-Table21[[#This Row],[Stock Close]])/Table21[[#This Row],[Stock Close]]</f>
        <v>-1.0832102412604639E-2</v>
      </c>
      <c r="F23" s="6"/>
      <c r="G23" s="6"/>
    </row>
    <row r="24" spans="1:7">
      <c r="A24" s="62">
        <v>45288</v>
      </c>
      <c r="B24" s="63">
        <v>4783.3500000000004</v>
      </c>
      <c r="C24" s="6">
        <v>426.32</v>
      </c>
      <c r="D24" s="6">
        <f>(B23-Table21[[#This Row],[Index Close]])/Table21[[#This Row],[Index Close]]</f>
        <v>-2.8264709879060566E-3</v>
      </c>
      <c r="E24" s="6">
        <f>(C23-Table21[[#This Row],[Stock Close]])/Table21[[#This Row],[Stock Close]]</f>
        <v>4.4567461062112432E-4</v>
      </c>
      <c r="F24" s="6"/>
      <c r="G24" s="6"/>
    </row>
    <row r="25" spans="1:7">
      <c r="A25" s="62">
        <v>45287</v>
      </c>
      <c r="B25" s="63">
        <v>4781.58</v>
      </c>
      <c r="C25" s="6">
        <v>424.36</v>
      </c>
      <c r="D25" s="6">
        <f>(B24-Table21[[#This Row],[Index Close]])/Table21[[#This Row],[Index Close]]</f>
        <v>3.7017052940668913E-4</v>
      </c>
      <c r="E25" s="6">
        <f>(C24-Table21[[#This Row],[Stock Close]])/Table21[[#This Row],[Stock Close]]</f>
        <v>4.618719954755348E-3</v>
      </c>
      <c r="F25" s="6"/>
      <c r="G25" s="6"/>
    </row>
    <row r="26" spans="1:7">
      <c r="A26" s="62">
        <v>45286</v>
      </c>
      <c r="B26" s="63">
        <v>4774.75</v>
      </c>
      <c r="C26" s="6">
        <v>423.67</v>
      </c>
      <c r="D26" s="6">
        <f>(B25-Table21[[#This Row],[Index Close]])/Table21[[#This Row],[Index Close]]</f>
        <v>1.4304413843656584E-3</v>
      </c>
      <c r="E26" s="6">
        <f>(C25-Table21[[#This Row],[Stock Close]])/Table21[[#This Row],[Stock Close]]</f>
        <v>1.6286260532961921E-3</v>
      </c>
      <c r="F26" s="6"/>
      <c r="G26" s="6"/>
    </row>
    <row r="27" spans="1:7">
      <c r="A27" s="62">
        <v>45282</v>
      </c>
      <c r="B27" s="63">
        <v>4754.63</v>
      </c>
      <c r="C27" s="6">
        <v>424.1</v>
      </c>
      <c r="D27" s="6">
        <f>(B26-Table21[[#This Row],[Index Close]])/Table21[[#This Row],[Index Close]]</f>
        <v>4.2316647141838358E-3</v>
      </c>
      <c r="E27" s="6">
        <f>(C26-Table21[[#This Row],[Stock Close]])/Table21[[#This Row],[Stock Close]]</f>
        <v>-1.0139118132516077E-3</v>
      </c>
      <c r="F27" s="6"/>
      <c r="G27" s="6"/>
    </row>
    <row r="28" spans="1:7">
      <c r="A28" s="62">
        <v>45281</v>
      </c>
      <c r="B28" s="63">
        <v>4746.75</v>
      </c>
      <c r="C28" s="6">
        <v>423.44</v>
      </c>
      <c r="D28" s="6">
        <f>(B27-Table21[[#This Row],[Index Close]])/Table21[[#This Row],[Index Close]]</f>
        <v>1.6600832148312233E-3</v>
      </c>
      <c r="E28" s="6">
        <f>(C27-Table21[[#This Row],[Stock Close]])/Table21[[#This Row],[Stock Close]]</f>
        <v>1.5586623842811852E-3</v>
      </c>
      <c r="F28" s="6"/>
      <c r="G28" s="6"/>
    </row>
    <row r="29" spans="1:7">
      <c r="A29" s="62">
        <v>45280</v>
      </c>
      <c r="B29" s="63">
        <v>4698.3500000000004</v>
      </c>
      <c r="C29" s="6">
        <v>419.45</v>
      </c>
      <c r="D29" s="6">
        <f>(B28-Table21[[#This Row],[Index Close]])/Table21[[#This Row],[Index Close]]</f>
        <v>1.0301488820543304E-2</v>
      </c>
      <c r="E29" s="6">
        <f>(C28-Table21[[#This Row],[Stock Close]])/Table21[[#This Row],[Stock Close]]</f>
        <v>9.5124567886518286E-3</v>
      </c>
      <c r="F29" s="6"/>
      <c r="G29" s="6"/>
    </row>
    <row r="30" spans="1:7">
      <c r="A30" s="62">
        <v>45279</v>
      </c>
      <c r="B30" s="63">
        <v>4768.37</v>
      </c>
      <c r="C30" s="6">
        <v>425.47</v>
      </c>
      <c r="D30" s="6">
        <f>(B29-Table21[[#This Row],[Index Close]])/Table21[[#This Row],[Index Close]]</f>
        <v>-1.4684263175886001E-2</v>
      </c>
      <c r="E30" s="6">
        <f>(C29-Table21[[#This Row],[Stock Close]])/Table21[[#This Row],[Stock Close]]</f>
        <v>-1.4149058688039199E-2</v>
      </c>
      <c r="F30" s="6"/>
      <c r="G30" s="6"/>
    </row>
    <row r="31" spans="1:7">
      <c r="A31" s="62">
        <v>45278</v>
      </c>
      <c r="B31" s="63">
        <v>4740.5600000000004</v>
      </c>
      <c r="C31" s="6">
        <v>424.43</v>
      </c>
      <c r="D31" s="6">
        <f>(B30-Table21[[#This Row],[Index Close]])/Table21[[#This Row],[Index Close]]</f>
        <v>5.8663955313295237E-3</v>
      </c>
      <c r="E31" s="6">
        <f>(C30-Table21[[#This Row],[Stock Close]])/Table21[[#This Row],[Stock Close]]</f>
        <v>2.4503451688146936E-3</v>
      </c>
      <c r="F31" s="6"/>
      <c r="G31" s="6"/>
    </row>
    <row r="32" spans="1:7">
      <c r="A32" s="62">
        <v>45275</v>
      </c>
      <c r="B32" s="63">
        <v>4719.1899999999996</v>
      </c>
      <c r="C32" s="6">
        <v>418.57</v>
      </c>
      <c r="D32" s="6">
        <f>(B31-Table21[[#This Row],[Index Close]])/Table21[[#This Row],[Index Close]]</f>
        <v>4.5283194785547525E-3</v>
      </c>
      <c r="E32" s="6">
        <f>(C31-Table21[[#This Row],[Stock Close]])/Table21[[#This Row],[Stock Close]]</f>
        <v>1.4000047781733076E-2</v>
      </c>
      <c r="F32" s="6"/>
      <c r="G32" s="6"/>
    </row>
    <row r="33" spans="1:7">
      <c r="A33" s="62">
        <v>45274</v>
      </c>
      <c r="B33" s="63">
        <v>4719.55</v>
      </c>
      <c r="C33" s="6">
        <v>418.56</v>
      </c>
      <c r="D33" s="6">
        <f>(B32-Table21[[#This Row],[Index Close]])/Table21[[#This Row],[Index Close]]</f>
        <v>-7.6278458751487336E-5</v>
      </c>
      <c r="E33" s="6">
        <f>(C32-Table21[[#This Row],[Stock Close]])/Table21[[#This Row],[Stock Close]]</f>
        <v>2.3891437308846774E-5</v>
      </c>
      <c r="F33" s="6"/>
      <c r="G33" s="6"/>
    </row>
    <row r="34" spans="1:7">
      <c r="A34" s="62">
        <v>45273</v>
      </c>
      <c r="B34" s="63">
        <v>4707.09</v>
      </c>
      <c r="C34" s="6">
        <v>424.68</v>
      </c>
      <c r="D34" s="6">
        <f>(B33-Table21[[#This Row],[Index Close]])/Table21[[#This Row],[Index Close]]</f>
        <v>2.6470706954827795E-3</v>
      </c>
      <c r="E34" s="6">
        <f>(C33-Table21[[#This Row],[Stock Close]])/Table21[[#This Row],[Stock Close]]</f>
        <v>-1.4410850522746549E-2</v>
      </c>
      <c r="F34" s="6"/>
      <c r="G34" s="6"/>
    </row>
    <row r="35" spans="1:7">
      <c r="A35" s="62">
        <v>45272</v>
      </c>
      <c r="B35" s="63">
        <v>4643.7</v>
      </c>
      <c r="C35" s="6">
        <v>420.75</v>
      </c>
      <c r="D35" s="6">
        <f>(B34-Table21[[#This Row],[Index Close]])/Table21[[#This Row],[Index Close]]</f>
        <v>1.3650752632599076E-2</v>
      </c>
      <c r="E35" s="6">
        <f>(C34-Table21[[#This Row],[Stock Close]])/Table21[[#This Row],[Stock Close]]</f>
        <v>9.3404634581105324E-3</v>
      </c>
      <c r="F35" s="6"/>
      <c r="G35" s="6"/>
    </row>
    <row r="36" spans="1:7">
      <c r="A36" s="62">
        <v>45271</v>
      </c>
      <c r="B36" s="63">
        <v>4622.4399999999996</v>
      </c>
      <c r="C36" s="6">
        <v>415.71</v>
      </c>
      <c r="D36" s="6">
        <f>(B35-Table21[[#This Row],[Index Close]])/Table21[[#This Row],[Index Close]]</f>
        <v>4.5993025328614802E-3</v>
      </c>
      <c r="E36" s="6">
        <f>(C35-Table21[[#This Row],[Stock Close]])/Table21[[#This Row],[Stock Close]]</f>
        <v>1.2123836328209618E-2</v>
      </c>
      <c r="F36" s="6"/>
      <c r="G36" s="6"/>
    </row>
    <row r="37" spans="1:7">
      <c r="A37" s="62">
        <v>45268</v>
      </c>
      <c r="B37" s="63">
        <v>4604.37</v>
      </c>
      <c r="C37" s="6">
        <v>412.16</v>
      </c>
      <c r="D37" s="6">
        <f>(B36-Table21[[#This Row],[Index Close]])/Table21[[#This Row],[Index Close]]</f>
        <v>3.9245325636297059E-3</v>
      </c>
      <c r="E37" s="6">
        <f>(C36-Table21[[#This Row],[Stock Close]])/Table21[[#This Row],[Stock Close]]</f>
        <v>8.6131599378880871E-3</v>
      </c>
      <c r="F37" s="6"/>
      <c r="G37" s="6"/>
    </row>
    <row r="38" spans="1:7">
      <c r="A38" s="62">
        <v>45267</v>
      </c>
      <c r="B38" s="63">
        <v>4585.59</v>
      </c>
      <c r="C38" s="6">
        <v>413.15</v>
      </c>
      <c r="D38" s="6">
        <f>(B37-Table21[[#This Row],[Index Close]])/Table21[[#This Row],[Index Close]]</f>
        <v>4.0954381006587468E-3</v>
      </c>
      <c r="E38" s="6">
        <f>(C37-Table21[[#This Row],[Stock Close]])/Table21[[#This Row],[Stock Close]]</f>
        <v>-2.3962241316711902E-3</v>
      </c>
      <c r="F38" s="6"/>
      <c r="G38" s="6"/>
    </row>
    <row r="39" spans="1:7">
      <c r="A39" s="62">
        <v>45266</v>
      </c>
      <c r="B39" s="63">
        <v>4549.34</v>
      </c>
      <c r="C39" s="6">
        <v>410.38</v>
      </c>
      <c r="D39" s="6">
        <f>(B38-Table21[[#This Row],[Index Close]])/Table21[[#This Row],[Index Close]]</f>
        <v>7.9681887922204101E-3</v>
      </c>
      <c r="E39" s="6">
        <f>(C38-Table21[[#This Row],[Stock Close]])/Table21[[#This Row],[Stock Close]]</f>
        <v>6.7498416102148781E-3</v>
      </c>
      <c r="F39" s="6"/>
      <c r="G39" s="6"/>
    </row>
    <row r="40" spans="1:7">
      <c r="A40" s="62">
        <v>45265</v>
      </c>
      <c r="B40" s="63">
        <v>4567.18</v>
      </c>
      <c r="C40" s="6">
        <v>408.69</v>
      </c>
      <c r="D40" s="6">
        <f>(B39-Table21[[#This Row],[Index Close]])/Table21[[#This Row],[Index Close]]</f>
        <v>-3.9061302598102426E-3</v>
      </c>
      <c r="E40" s="6">
        <f>(C39-Table21[[#This Row],[Stock Close]])/Table21[[#This Row],[Stock Close]]</f>
        <v>4.1351635714110884E-3</v>
      </c>
      <c r="F40" s="6"/>
      <c r="G40" s="6"/>
    </row>
    <row r="41" spans="1:7">
      <c r="A41" s="62">
        <v>45264</v>
      </c>
      <c r="B41" s="63">
        <v>4569.78</v>
      </c>
      <c r="C41" s="6">
        <v>408.23</v>
      </c>
      <c r="D41" s="6">
        <f>(B40-Table21[[#This Row],[Index Close]])/Table21[[#This Row],[Index Close]]</f>
        <v>-5.68955179461474E-4</v>
      </c>
      <c r="E41" s="6">
        <f>(C40-Table21[[#This Row],[Stock Close]])/Table21[[#This Row],[Stock Close]]</f>
        <v>1.1268157656222706E-3</v>
      </c>
      <c r="F41" s="6"/>
      <c r="G41" s="6"/>
    </row>
    <row r="42" spans="1:7">
      <c r="A42" s="62">
        <v>45261</v>
      </c>
      <c r="B42" s="63">
        <v>4594.63</v>
      </c>
      <c r="C42" s="6">
        <v>414.36</v>
      </c>
      <c r="D42" s="6">
        <f>(B41-Table21[[#This Row],[Index Close]])/Table21[[#This Row],[Index Close]]</f>
        <v>-5.4084877345945952E-3</v>
      </c>
      <c r="E42" s="6">
        <f>(C41-Table21[[#This Row],[Stock Close]])/Table21[[#This Row],[Stock Close]]</f>
        <v>-1.4793899025002402E-2</v>
      </c>
      <c r="F42" s="6"/>
      <c r="G42" s="6"/>
    </row>
    <row r="43" spans="1:7">
      <c r="A43" s="62">
        <v>45260</v>
      </c>
      <c r="B43" s="63">
        <v>4567.8</v>
      </c>
      <c r="C43" s="6">
        <v>413.83</v>
      </c>
      <c r="D43" s="6">
        <f>(B42-Table21[[#This Row],[Index Close]])/Table21[[#This Row],[Index Close]]</f>
        <v>5.873724769035406E-3</v>
      </c>
      <c r="E43" s="6">
        <f>(C42-Table21[[#This Row],[Stock Close]])/Table21[[#This Row],[Stock Close]]</f>
        <v>1.2807191358771225E-3</v>
      </c>
      <c r="F43" s="6"/>
      <c r="G43" s="6"/>
    </row>
    <row r="44" spans="1:7">
      <c r="A44" s="62">
        <v>45259</v>
      </c>
      <c r="B44" s="63">
        <v>4550.58</v>
      </c>
      <c r="C44" s="6">
        <v>409.82</v>
      </c>
      <c r="D44" s="6">
        <f>(B43-Table21[[#This Row],[Index Close]])/Table21[[#This Row],[Index Close]]</f>
        <v>3.7841330116161575E-3</v>
      </c>
      <c r="E44" s="6">
        <f>(C43-Table21[[#This Row],[Stock Close]])/Table21[[#This Row],[Stock Close]]</f>
        <v>9.7847835635156682E-3</v>
      </c>
      <c r="F44" s="6"/>
      <c r="G44" s="6"/>
    </row>
    <row r="45" spans="1:7">
      <c r="A45" s="62">
        <v>45258</v>
      </c>
      <c r="B45" s="63">
        <v>4554.8900000000003</v>
      </c>
      <c r="C45" s="6">
        <v>409.01</v>
      </c>
      <c r="D45" s="6">
        <f>(B44-Table21[[#This Row],[Index Close]])/Table21[[#This Row],[Index Close]]</f>
        <v>-9.4623580371872864E-4</v>
      </c>
      <c r="E45" s="6">
        <f>(C44-Table21[[#This Row],[Stock Close]])/Table21[[#This Row],[Stock Close]]</f>
        <v>1.9803916774651042E-3</v>
      </c>
      <c r="F45" s="6"/>
      <c r="G45" s="6"/>
    </row>
    <row r="46" spans="1:7">
      <c r="A46" s="62">
        <v>45257</v>
      </c>
      <c r="B46" s="63">
        <v>4550.43</v>
      </c>
      <c r="C46" s="6">
        <v>408.97</v>
      </c>
      <c r="D46" s="6">
        <f>(B45-Table21[[#This Row],[Index Close]])/Table21[[#This Row],[Index Close]]</f>
        <v>9.8012715281853269E-4</v>
      </c>
      <c r="E46" s="6">
        <f>(C45-Table21[[#This Row],[Stock Close]])/Table21[[#This Row],[Stock Close]]</f>
        <v>9.7806685086836726E-5</v>
      </c>
      <c r="F46" s="6"/>
      <c r="G46" s="6"/>
    </row>
    <row r="47" spans="1:7">
      <c r="A47" s="62">
        <v>45254</v>
      </c>
      <c r="B47" s="63">
        <v>4559.34</v>
      </c>
      <c r="C47" s="6">
        <v>412.5</v>
      </c>
      <c r="D47" s="6">
        <f>(B46-Table21[[#This Row],[Index Close]])/Table21[[#This Row],[Index Close]]</f>
        <v>-1.9542302175314529E-3</v>
      </c>
      <c r="E47" s="6">
        <f>(C46-Table21[[#This Row],[Stock Close]])/Table21[[#This Row],[Stock Close]]</f>
        <v>-8.557575757575691E-3</v>
      </c>
      <c r="F47" s="6"/>
      <c r="G47" s="6"/>
    </row>
    <row r="48" spans="1:7">
      <c r="A48" s="62">
        <v>45252</v>
      </c>
      <c r="B48" s="63">
        <v>4556.62</v>
      </c>
      <c r="C48" s="6">
        <v>410.33</v>
      </c>
      <c r="D48" s="6">
        <f>(B47-Table21[[#This Row],[Index Close]])/Table21[[#This Row],[Index Close]]</f>
        <v>5.969336920788336E-4</v>
      </c>
      <c r="E48" s="6">
        <f>(C47-Table21[[#This Row],[Stock Close]])/Table21[[#This Row],[Stock Close]]</f>
        <v>5.2884263885165988E-3</v>
      </c>
      <c r="F48" s="6"/>
      <c r="G48" s="6"/>
    </row>
    <row r="49" spans="1:7">
      <c r="A49" s="62">
        <v>45251</v>
      </c>
      <c r="B49" s="63">
        <v>4538.1899999999996</v>
      </c>
      <c r="C49" s="6">
        <v>408.95</v>
      </c>
      <c r="D49" s="6">
        <f>(B48-Table21[[#This Row],[Index Close]])/Table21[[#This Row],[Index Close]]</f>
        <v>4.0610904347328546E-3</v>
      </c>
      <c r="E49" s="6">
        <f>(C48-Table21[[#This Row],[Stock Close]])/Table21[[#This Row],[Stock Close]]</f>
        <v>3.3744956596160791E-3</v>
      </c>
      <c r="F49" s="6"/>
      <c r="G49" s="6"/>
    </row>
    <row r="50" spans="1:7">
      <c r="A50" s="62">
        <v>45250</v>
      </c>
      <c r="B50" s="63">
        <v>4547.38</v>
      </c>
      <c r="C50" s="6">
        <v>404.4</v>
      </c>
      <c r="D50" s="6">
        <f>(B49-Table21[[#This Row],[Index Close]])/Table21[[#This Row],[Index Close]]</f>
        <v>-2.0209439281521466E-3</v>
      </c>
      <c r="E50" s="6">
        <f>(C49-Table21[[#This Row],[Stock Close]])/Table21[[#This Row],[Stock Close]]</f>
        <v>1.125123639960438E-2</v>
      </c>
      <c r="F50" s="6"/>
      <c r="G50" s="6"/>
    </row>
    <row r="51" spans="1:7">
      <c r="A51" s="62">
        <v>45247</v>
      </c>
      <c r="B51" s="63">
        <v>4514.0200000000004</v>
      </c>
      <c r="C51" s="6">
        <v>400.3</v>
      </c>
      <c r="D51" s="6">
        <f>(B50-Table21[[#This Row],[Index Close]])/Table21[[#This Row],[Index Close]]</f>
        <v>7.390308416887756E-3</v>
      </c>
      <c r="E51" s="6">
        <f>(C50-Table21[[#This Row],[Stock Close]])/Table21[[#This Row],[Stock Close]]</f>
        <v>1.0242318261303937E-2</v>
      </c>
      <c r="F51" s="6"/>
      <c r="G51" s="6"/>
    </row>
    <row r="52" spans="1:7">
      <c r="A52" s="62">
        <v>45246</v>
      </c>
      <c r="B52" s="63">
        <v>4508.24</v>
      </c>
      <c r="C52" s="6">
        <v>397.1</v>
      </c>
      <c r="D52" s="6">
        <f>(B51-Table21[[#This Row],[Index Close]])/Table21[[#This Row],[Index Close]]</f>
        <v>1.2820967827801215E-3</v>
      </c>
      <c r="E52" s="6">
        <f>(C51-Table21[[#This Row],[Stock Close]])/Table21[[#This Row],[Stock Close]]</f>
        <v>8.0584235708889163E-3</v>
      </c>
      <c r="F52" s="6"/>
      <c r="G52" s="6"/>
    </row>
    <row r="53" spans="1:7">
      <c r="A53" s="62">
        <v>45245</v>
      </c>
      <c r="B53" s="63">
        <v>4502.88</v>
      </c>
      <c r="C53" s="6">
        <v>396.83</v>
      </c>
      <c r="D53" s="6">
        <f>(B52-Table21[[#This Row],[Index Close]])/Table21[[#This Row],[Index Close]]</f>
        <v>1.1903492875669954E-3</v>
      </c>
      <c r="E53" s="6">
        <f>(C52-Table21[[#This Row],[Stock Close]])/Table21[[#This Row],[Stock Close]]</f>
        <v>6.8039210745165103E-4</v>
      </c>
      <c r="F53" s="6"/>
      <c r="G53" s="6"/>
    </row>
    <row r="54" spans="1:7">
      <c r="A54" s="62">
        <v>45244</v>
      </c>
      <c r="B54" s="63">
        <v>4495.7</v>
      </c>
      <c r="C54" s="6">
        <v>397.65</v>
      </c>
      <c r="D54" s="6">
        <f>(B53-Table21[[#This Row],[Index Close]])/Table21[[#This Row],[Index Close]]</f>
        <v>1.5970816558045001E-3</v>
      </c>
      <c r="E54" s="6">
        <f>(C53-Table21[[#This Row],[Stock Close]])/Table21[[#This Row],[Stock Close]]</f>
        <v>-2.0621149251854477E-3</v>
      </c>
      <c r="F54" s="6"/>
      <c r="G54" s="6"/>
    </row>
    <row r="55" spans="1:7">
      <c r="A55" s="62">
        <v>45243</v>
      </c>
      <c r="B55" s="63">
        <v>4411.55</v>
      </c>
      <c r="C55" s="6">
        <v>394.35</v>
      </c>
      <c r="D55" s="6">
        <f>(B54-Table21[[#This Row],[Index Close]])/Table21[[#This Row],[Index Close]]</f>
        <v>1.9074928313177825E-2</v>
      </c>
      <c r="E55" s="6">
        <f>(C54-Table21[[#This Row],[Stock Close]])/Table21[[#This Row],[Stock Close]]</f>
        <v>8.3682008368199685E-3</v>
      </c>
      <c r="F55" s="6"/>
      <c r="G55" s="6"/>
    </row>
    <row r="56" spans="1:7">
      <c r="A56" s="62">
        <v>45240</v>
      </c>
      <c r="B56" s="63">
        <v>4415.24</v>
      </c>
      <c r="C56" s="6">
        <v>394.38</v>
      </c>
      <c r="D56" s="6">
        <f>(B55-Table21[[#This Row],[Index Close]])/Table21[[#This Row],[Index Close]]</f>
        <v>-8.3574165843750285E-4</v>
      </c>
      <c r="E56" s="6">
        <f>(C55-Table21[[#This Row],[Stock Close]])/Table21[[#This Row],[Stock Close]]</f>
        <v>-7.6068766164543624E-5</v>
      </c>
      <c r="F56" s="6"/>
      <c r="G56" s="6"/>
    </row>
    <row r="57" spans="1:7">
      <c r="A57" s="62">
        <v>45239</v>
      </c>
      <c r="B57" s="63">
        <v>4347.3500000000004</v>
      </c>
      <c r="C57" s="6">
        <v>387.96</v>
      </c>
      <c r="D57" s="6">
        <f>(B56-Table21[[#This Row],[Index Close]])/Table21[[#This Row],[Index Close]]</f>
        <v>1.5616409996894525E-2</v>
      </c>
      <c r="E57" s="6">
        <f>(C56-Table21[[#This Row],[Stock Close]])/Table21[[#This Row],[Stock Close]]</f>
        <v>1.6548097742035302E-2</v>
      </c>
      <c r="F57" s="6"/>
      <c r="G57" s="6"/>
    </row>
    <row r="58" spans="1:7">
      <c r="A58" s="62">
        <v>45238</v>
      </c>
      <c r="B58" s="63">
        <v>4382.78</v>
      </c>
      <c r="C58" s="6">
        <v>389.7</v>
      </c>
      <c r="D58" s="6">
        <f>(B57-Table21[[#This Row],[Index Close]])/Table21[[#This Row],[Index Close]]</f>
        <v>-8.0839102122395798E-3</v>
      </c>
      <c r="E58" s="6">
        <f>(C57-Table21[[#This Row],[Stock Close]])/Table21[[#This Row],[Stock Close]]</f>
        <v>-4.4649730561970979E-3</v>
      </c>
      <c r="F58" s="6"/>
      <c r="G58" s="6"/>
    </row>
    <row r="59" spans="1:7">
      <c r="A59" s="62">
        <v>45237</v>
      </c>
      <c r="B59" s="63">
        <v>4378.38</v>
      </c>
      <c r="C59" s="6">
        <v>388.87</v>
      </c>
      <c r="D59" s="6">
        <f>(B58-Table21[[#This Row],[Index Close]])/Table21[[#This Row],[Index Close]]</f>
        <v>1.0049378994056331E-3</v>
      </c>
      <c r="E59" s="6">
        <f>(C58-Table21[[#This Row],[Stock Close]])/Table21[[#This Row],[Stock Close]]</f>
        <v>2.1343893846272124E-3</v>
      </c>
      <c r="F59" s="6"/>
      <c r="G59" s="6"/>
    </row>
    <row r="60" spans="1:7">
      <c r="A60" s="62">
        <v>45236</v>
      </c>
      <c r="B60" s="63">
        <v>4365.9799999999996</v>
      </c>
      <c r="C60" s="6">
        <v>386.16</v>
      </c>
      <c r="D60" s="6">
        <f>(B59-Table21[[#This Row],[Index Close]])/Table21[[#This Row],[Index Close]]</f>
        <v>2.8401412741241479E-3</v>
      </c>
      <c r="E60" s="6">
        <f>(C59-Table21[[#This Row],[Stock Close]])/Table21[[#This Row],[Stock Close]]</f>
        <v>7.0178164491401995E-3</v>
      </c>
      <c r="F60" s="6"/>
      <c r="G60" s="6"/>
    </row>
    <row r="61" spans="1:7">
      <c r="A61" s="62">
        <v>45233</v>
      </c>
      <c r="B61" s="63">
        <v>4358.34</v>
      </c>
      <c r="C61" s="6">
        <v>386.05</v>
      </c>
      <c r="D61" s="6">
        <f>(B60-Table21[[#This Row],[Index Close]])/Table21[[#This Row],[Index Close]]</f>
        <v>1.7529609897344901E-3</v>
      </c>
      <c r="E61" s="6">
        <f>(C60-Table21[[#This Row],[Stock Close]])/Table21[[#This Row],[Stock Close]]</f>
        <v>2.8493718430258684E-4</v>
      </c>
      <c r="F61" s="6"/>
      <c r="G61" s="6"/>
    </row>
    <row r="62" spans="1:7">
      <c r="A62" s="62">
        <v>45232</v>
      </c>
      <c r="B62" s="63">
        <v>4317.78</v>
      </c>
      <c r="C62" s="6">
        <v>382.69</v>
      </c>
      <c r="D62" s="6">
        <f>(B61-Table21[[#This Row],[Index Close]])/Table21[[#This Row],[Index Close]]</f>
        <v>9.3937162152773878E-3</v>
      </c>
      <c r="E62" s="6">
        <f>(C61-Table21[[#This Row],[Stock Close]])/Table21[[#This Row],[Stock Close]]</f>
        <v>8.7799524419243085E-3</v>
      </c>
      <c r="F62" s="6"/>
      <c r="G62" s="6"/>
    </row>
    <row r="63" spans="1:7">
      <c r="A63" s="62">
        <v>45231</v>
      </c>
      <c r="B63" s="63">
        <v>4237.8599999999997</v>
      </c>
      <c r="C63" s="6">
        <v>377.82</v>
      </c>
      <c r="D63" s="6">
        <f>(B62-Table21[[#This Row],[Index Close]])/Table21[[#This Row],[Index Close]]</f>
        <v>1.8858574846738703E-2</v>
      </c>
      <c r="E63" s="6">
        <f>(C62-Table21[[#This Row],[Stock Close]])/Table21[[#This Row],[Stock Close]]</f>
        <v>1.2889735853051729E-2</v>
      </c>
      <c r="F63" s="6"/>
      <c r="G63" s="6"/>
    </row>
    <row r="64" spans="1:7">
      <c r="A64" s="62">
        <v>45230</v>
      </c>
      <c r="B64" s="63">
        <v>4193.8</v>
      </c>
      <c r="C64" s="6">
        <v>376.35</v>
      </c>
      <c r="D64" s="6">
        <f>(B63-Table21[[#This Row],[Index Close]])/Table21[[#This Row],[Index Close]]</f>
        <v>1.0505985025513732E-2</v>
      </c>
      <c r="E64" s="6">
        <f>(C63-Table21[[#This Row],[Stock Close]])/Table21[[#This Row],[Stock Close]]</f>
        <v>3.905938620964449E-3</v>
      </c>
      <c r="F64" s="6"/>
      <c r="G64" s="6"/>
    </row>
    <row r="65" spans="1:7">
      <c r="A65" s="62">
        <v>45229</v>
      </c>
      <c r="B65" s="63">
        <v>4166.82</v>
      </c>
      <c r="C65" s="6">
        <v>372.42</v>
      </c>
      <c r="D65" s="6">
        <f>(B64-Table21[[#This Row],[Index Close]])/Table21[[#This Row],[Index Close]]</f>
        <v>6.4749617214087665E-3</v>
      </c>
      <c r="E65" s="6">
        <f>(C64-Table21[[#This Row],[Stock Close]])/Table21[[#This Row],[Stock Close]]</f>
        <v>1.0552601901079444E-2</v>
      </c>
      <c r="F65" s="6"/>
      <c r="G65" s="6"/>
    </row>
    <row r="66" spans="1:7">
      <c r="A66" s="62">
        <v>45226</v>
      </c>
      <c r="B66" s="63">
        <v>4117.37</v>
      </c>
      <c r="C66" s="6">
        <v>364.08</v>
      </c>
      <c r="D66" s="6">
        <f>(B65-Table21[[#This Row],[Index Close]])/Table21[[#This Row],[Index Close]]</f>
        <v>1.2010093822027125E-2</v>
      </c>
      <c r="E66" s="6">
        <f>(C65-Table21[[#This Row],[Stock Close]])/Table21[[#This Row],[Stock Close]]</f>
        <v>2.2907053394858361E-2</v>
      </c>
      <c r="F66" s="6"/>
      <c r="G66" s="6"/>
    </row>
    <row r="67" spans="1:7">
      <c r="A67" s="62">
        <v>45225</v>
      </c>
      <c r="B67" s="63">
        <v>4137.2299999999996</v>
      </c>
      <c r="C67" s="6">
        <v>364.59</v>
      </c>
      <c r="D67" s="6">
        <f>(B66-Table21[[#This Row],[Index Close]])/Table21[[#This Row],[Index Close]]</f>
        <v>-4.800313253070212E-3</v>
      </c>
      <c r="E67" s="6">
        <f>(C66-Table21[[#This Row],[Stock Close]])/Table21[[#This Row],[Stock Close]]</f>
        <v>-1.3988315642228008E-3</v>
      </c>
      <c r="F67" s="6"/>
      <c r="G67" s="6"/>
    </row>
    <row r="68" spans="1:7">
      <c r="A68" s="62">
        <v>45224</v>
      </c>
      <c r="B68" s="63">
        <v>4186.7700000000004</v>
      </c>
      <c r="C68" s="6">
        <v>386.31</v>
      </c>
      <c r="D68" s="6">
        <f>(B67-Table21[[#This Row],[Index Close]])/Table21[[#This Row],[Index Close]]</f>
        <v>-1.1832510503323772E-2</v>
      </c>
      <c r="E68" s="6">
        <f>(C67-Table21[[#This Row],[Stock Close]])/Table21[[#This Row],[Stock Close]]</f>
        <v>-5.6224275840646182E-2</v>
      </c>
      <c r="F68" s="6"/>
      <c r="G68" s="6"/>
    </row>
    <row r="69" spans="1:7">
      <c r="A69" s="62">
        <v>45223</v>
      </c>
      <c r="B69" s="63">
        <v>4247.68</v>
      </c>
      <c r="C69" s="6">
        <v>386.91</v>
      </c>
      <c r="D69" s="6">
        <f>(B68-Table21[[#This Row],[Index Close]])/Table21[[#This Row],[Index Close]]</f>
        <v>-1.4339592436341685E-2</v>
      </c>
      <c r="E69" s="6">
        <f>(C68-Table21[[#This Row],[Stock Close]])/Table21[[#This Row],[Stock Close]]</f>
        <v>-1.5507482360239402E-3</v>
      </c>
      <c r="F69" s="6"/>
      <c r="G69" s="6"/>
    </row>
    <row r="70" spans="1:7">
      <c r="A70" s="62">
        <v>45222</v>
      </c>
      <c r="B70" s="63">
        <v>4217.04</v>
      </c>
      <c r="C70" s="6">
        <v>383.67</v>
      </c>
      <c r="D70" s="6">
        <f>(B69-Table21[[#This Row],[Index Close]])/Table21[[#This Row],[Index Close]]</f>
        <v>7.2657598694819891E-3</v>
      </c>
      <c r="E70" s="6">
        <f>(C69-Table21[[#This Row],[Stock Close]])/Table21[[#This Row],[Stock Close]]</f>
        <v>8.4447572132301425E-3</v>
      </c>
      <c r="F70" s="6"/>
      <c r="G70" s="6"/>
    </row>
    <row r="71" spans="1:7">
      <c r="A71" s="62">
        <v>45219</v>
      </c>
      <c r="B71" s="63">
        <v>4224.16</v>
      </c>
      <c r="C71" s="6">
        <v>384.41</v>
      </c>
      <c r="D71" s="6">
        <f>(B70-Table21[[#This Row],[Index Close]])/Table21[[#This Row],[Index Close]]</f>
        <v>-1.6855422143100382E-3</v>
      </c>
      <c r="E71" s="6">
        <f>(C70-Table21[[#This Row],[Stock Close]])/Table21[[#This Row],[Stock Close]]</f>
        <v>-1.9250279649332979E-3</v>
      </c>
      <c r="F71" s="6"/>
      <c r="G71" s="6"/>
    </row>
    <row r="72" spans="1:7">
      <c r="A72" s="62">
        <v>45218</v>
      </c>
      <c r="B72" s="63">
        <v>4278</v>
      </c>
      <c r="C72" s="6">
        <v>387.87</v>
      </c>
      <c r="D72" s="6">
        <f>(B71-Table21[[#This Row],[Index Close]])/Table21[[#This Row],[Index Close]]</f>
        <v>-1.2585320243104289E-2</v>
      </c>
      <c r="E72" s="6">
        <f>(C71-Table21[[#This Row],[Stock Close]])/Table21[[#This Row],[Stock Close]]</f>
        <v>-8.9205146054089756E-3</v>
      </c>
      <c r="F72" s="6"/>
      <c r="G72" s="6"/>
    </row>
    <row r="73" spans="1:7">
      <c r="A73" s="62">
        <v>45217</v>
      </c>
      <c r="B73" s="63">
        <v>4314.6000000000004</v>
      </c>
      <c r="C73" s="6">
        <v>393.21</v>
      </c>
      <c r="D73" s="6">
        <f>(B72-Table21[[#This Row],[Index Close]])/Table21[[#This Row],[Index Close]]</f>
        <v>-8.4828257544153247E-3</v>
      </c>
      <c r="E73" s="6">
        <f>(C72-Table21[[#This Row],[Stock Close]])/Table21[[#This Row],[Stock Close]]</f>
        <v>-1.3580529488059753E-2</v>
      </c>
      <c r="F73" s="6"/>
      <c r="G73" s="6"/>
    </row>
    <row r="74" spans="1:7">
      <c r="A74" s="62">
        <v>45216</v>
      </c>
      <c r="B74" s="63">
        <v>4373.2</v>
      </c>
      <c r="C74" s="6">
        <v>401.77</v>
      </c>
      <c r="D74" s="6">
        <f>(B73-Table21[[#This Row],[Index Close]])/Table21[[#This Row],[Index Close]]</f>
        <v>-1.3399798774352753E-2</v>
      </c>
      <c r="E74" s="6">
        <f>(C73-Table21[[#This Row],[Stock Close]])/Table21[[#This Row],[Stock Close]]</f>
        <v>-2.1305722179356355E-2</v>
      </c>
      <c r="F74" s="6"/>
      <c r="G74" s="6"/>
    </row>
    <row r="75" spans="1:7">
      <c r="A75" s="62">
        <v>45215</v>
      </c>
      <c r="B75" s="63">
        <v>4373.63</v>
      </c>
      <c r="C75" s="6">
        <v>401.16</v>
      </c>
      <c r="D75" s="6">
        <f>(B74-Table21[[#This Row],[Index Close]])/Table21[[#This Row],[Index Close]]</f>
        <v>-9.8316501395932218E-5</v>
      </c>
      <c r="E75" s="6">
        <f>(C74-Table21[[#This Row],[Stock Close]])/Table21[[#This Row],[Stock Close]]</f>
        <v>1.5205902881642156E-3</v>
      </c>
      <c r="F75" s="6"/>
      <c r="G75" s="6"/>
    </row>
    <row r="76" spans="1:7">
      <c r="A76" s="62">
        <v>45212</v>
      </c>
      <c r="B76" s="63">
        <v>4327.78</v>
      </c>
      <c r="C76" s="6">
        <v>398.03</v>
      </c>
      <c r="D76" s="6">
        <f>(B75-Table21[[#This Row],[Index Close]])/Table21[[#This Row],[Index Close]]</f>
        <v>1.0594346293018676E-2</v>
      </c>
      <c r="E76" s="6">
        <f>(C75-Table21[[#This Row],[Stock Close]])/Table21[[#This Row],[Stock Close]]</f>
        <v>7.8637288646585743E-3</v>
      </c>
      <c r="F76" s="6"/>
      <c r="G76" s="6"/>
    </row>
    <row r="77" spans="1:7">
      <c r="A77" s="62">
        <v>45211</v>
      </c>
      <c r="B77" s="63">
        <v>4349.6099999999997</v>
      </c>
      <c r="C77" s="6">
        <v>399.9</v>
      </c>
      <c r="D77" s="6">
        <f>(B76-Table21[[#This Row],[Index Close]])/Table21[[#This Row],[Index Close]]</f>
        <v>-5.0188407696322036E-3</v>
      </c>
      <c r="E77" s="6">
        <f>(C76-Table21[[#This Row],[Stock Close]])/Table21[[#This Row],[Stock Close]]</f>
        <v>-4.676169042260577E-3</v>
      </c>
      <c r="F77" s="6"/>
      <c r="G77" s="6"/>
    </row>
    <row r="78" spans="1:7">
      <c r="A78" s="62">
        <v>45210</v>
      </c>
      <c r="B78" s="63">
        <v>4376.95</v>
      </c>
      <c r="C78" s="6">
        <v>399.81</v>
      </c>
      <c r="D78" s="6">
        <f>(B77-Table21[[#This Row],[Index Close]])/Table21[[#This Row],[Index Close]]</f>
        <v>-6.246358765807274E-3</v>
      </c>
      <c r="E78" s="6">
        <f>(C77-Table21[[#This Row],[Stock Close]])/Table21[[#This Row],[Stock Close]]</f>
        <v>2.2510692578968757E-4</v>
      </c>
      <c r="F78" s="6"/>
      <c r="G78" s="6"/>
    </row>
    <row r="79" spans="1:7">
      <c r="A79" s="62">
        <v>45209</v>
      </c>
      <c r="B79" s="63">
        <v>4358.24</v>
      </c>
      <c r="C79" s="6">
        <v>400.37</v>
      </c>
      <c r="D79" s="6">
        <f>(B78-Table21[[#This Row],[Index Close]])/Table21[[#This Row],[Index Close]]</f>
        <v>4.2930173648078208E-3</v>
      </c>
      <c r="E79" s="6">
        <f>(C78-Table21[[#This Row],[Stock Close]])/Table21[[#This Row],[Stock Close]]</f>
        <v>-1.3987061967679953E-3</v>
      </c>
      <c r="F79" s="6"/>
      <c r="G79" s="6"/>
    </row>
    <row r="80" spans="1:7">
      <c r="A80" s="62">
        <v>45208</v>
      </c>
      <c r="B80" s="63">
        <v>4335.66</v>
      </c>
      <c r="C80" s="6">
        <v>394.74</v>
      </c>
      <c r="D80" s="6">
        <f>(B79-Table21[[#This Row],[Index Close]])/Table21[[#This Row],[Index Close]]</f>
        <v>5.2079729499084175E-3</v>
      </c>
      <c r="E80" s="6">
        <f>(C79-Table21[[#This Row],[Stock Close]])/Table21[[#This Row],[Stock Close]]</f>
        <v>1.4262552566246124E-2</v>
      </c>
      <c r="F80" s="6"/>
      <c r="G80" s="6"/>
    </row>
    <row r="81" spans="1:7">
      <c r="A81" s="62">
        <v>45205</v>
      </c>
      <c r="B81" s="63">
        <v>4308.5</v>
      </c>
      <c r="C81" s="6">
        <v>397.97</v>
      </c>
      <c r="D81" s="6">
        <f>(B80-Table21[[#This Row],[Index Close]])/Table21[[#This Row],[Index Close]]</f>
        <v>6.3038180341185692E-3</v>
      </c>
      <c r="E81" s="6">
        <f>(C80-Table21[[#This Row],[Stock Close]])/Table21[[#This Row],[Stock Close]]</f>
        <v>-8.1161896625374218E-3</v>
      </c>
      <c r="F81" s="6"/>
      <c r="G81" s="6"/>
    </row>
    <row r="82" spans="1:7">
      <c r="A82" s="62">
        <v>45204</v>
      </c>
      <c r="B82" s="63">
        <v>4258.1899999999996</v>
      </c>
      <c r="C82" s="6">
        <v>394.2</v>
      </c>
      <c r="D82" s="6">
        <f>(B81-Table21[[#This Row],[Index Close]])/Table21[[#This Row],[Index Close]]</f>
        <v>1.1814879091820798E-2</v>
      </c>
      <c r="E82" s="6">
        <f>(C81-Table21[[#This Row],[Stock Close]])/Table21[[#This Row],[Stock Close]]</f>
        <v>9.5636732623034983E-3</v>
      </c>
      <c r="F82" s="6"/>
      <c r="G82" s="6"/>
    </row>
    <row r="83" spans="1:7">
      <c r="A83" s="62">
        <v>45203</v>
      </c>
      <c r="B83" s="63">
        <v>4263.75</v>
      </c>
      <c r="C83" s="6">
        <v>393.76</v>
      </c>
      <c r="D83" s="6">
        <f>(B82-Table21[[#This Row],[Index Close]])/Table21[[#This Row],[Index Close]]</f>
        <v>-1.3040164174729757E-3</v>
      </c>
      <c r="E83" s="6">
        <f>(C82-Table21[[#This Row],[Stock Close]])/Table21[[#This Row],[Stock Close]]</f>
        <v>1.1174319382364834E-3</v>
      </c>
      <c r="F83" s="6"/>
      <c r="G83" s="6"/>
    </row>
    <row r="84" spans="1:7">
      <c r="A84" s="62">
        <v>45202</v>
      </c>
      <c r="B84" s="63">
        <v>4229.45</v>
      </c>
      <c r="C84" s="6">
        <v>391.06</v>
      </c>
      <c r="D84" s="6">
        <f>(B83-Table21[[#This Row],[Index Close]])/Table21[[#This Row],[Index Close]]</f>
        <v>8.1098015108347857E-3</v>
      </c>
      <c r="E84" s="6">
        <f>(C83-Table21[[#This Row],[Stock Close]])/Table21[[#This Row],[Stock Close]]</f>
        <v>6.9043113588707324E-3</v>
      </c>
      <c r="F84" s="6"/>
      <c r="G84" s="6"/>
    </row>
    <row r="85" spans="1:7">
      <c r="A85" s="62">
        <v>45201</v>
      </c>
      <c r="B85" s="63">
        <v>4288.3900000000003</v>
      </c>
      <c r="C85" s="6">
        <v>395.85</v>
      </c>
      <c r="D85" s="6">
        <f>(B84-Table21[[#This Row],[Index Close]])/Table21[[#This Row],[Index Close]]</f>
        <v>-1.3744085775780773E-2</v>
      </c>
      <c r="E85" s="6">
        <f>(C84-Table21[[#This Row],[Stock Close]])/Table21[[#This Row],[Stock Close]]</f>
        <v>-1.2100543135025945E-2</v>
      </c>
      <c r="F85" s="6"/>
      <c r="G85" s="6"/>
    </row>
    <row r="86" spans="1:7">
      <c r="A86" s="62">
        <v>45198</v>
      </c>
      <c r="B86" s="63">
        <v>4288.05</v>
      </c>
      <c r="C86" s="6">
        <v>395.91</v>
      </c>
      <c r="D86" s="6">
        <f>(B85-Table21[[#This Row],[Index Close]])/Table21[[#This Row],[Index Close]]</f>
        <v>7.9290120217848556E-5</v>
      </c>
      <c r="E86" s="6">
        <f>(C85-Table21[[#This Row],[Stock Close]])/Table21[[#This Row],[Stock Close]]</f>
        <v>-1.5154959460484017E-4</v>
      </c>
      <c r="F86" s="6"/>
      <c r="G86" s="6"/>
    </row>
    <row r="87" spans="1:7">
      <c r="A87" s="62">
        <v>45197</v>
      </c>
      <c r="B87" s="63">
        <v>4299.7</v>
      </c>
      <c r="C87" s="6">
        <v>399.44</v>
      </c>
      <c r="D87" s="6">
        <f>(B86-Table21[[#This Row],[Index Close]])/Table21[[#This Row],[Index Close]]</f>
        <v>-2.7094913598622317E-3</v>
      </c>
      <c r="E87" s="6">
        <f>(C86-Table21[[#This Row],[Stock Close]])/Table21[[#This Row],[Stock Close]]</f>
        <v>-8.837372321249681E-3</v>
      </c>
      <c r="F87" s="6"/>
      <c r="G87" s="6"/>
    </row>
    <row r="88" spans="1:7">
      <c r="A88" s="62">
        <v>45196</v>
      </c>
      <c r="B88" s="63">
        <v>4274.51</v>
      </c>
      <c r="C88" s="6">
        <v>395.48</v>
      </c>
      <c r="D88" s="6">
        <f>(B87-Table21[[#This Row],[Index Close]])/Table21[[#This Row],[Index Close]]</f>
        <v>5.8930731241708641E-3</v>
      </c>
      <c r="E88" s="6">
        <f>(C87-Table21[[#This Row],[Stock Close]])/Table21[[#This Row],[Stock Close]]</f>
        <v>1.0013148578941993E-2</v>
      </c>
      <c r="F88" s="6"/>
      <c r="G88" s="6"/>
    </row>
    <row r="89" spans="1:7">
      <c r="A89" s="62">
        <v>45195</v>
      </c>
      <c r="B89" s="63">
        <v>4273.53</v>
      </c>
      <c r="C89" s="6">
        <v>395.38</v>
      </c>
      <c r="D89" s="6">
        <f>(B88-Table21[[#This Row],[Index Close]])/Table21[[#This Row],[Index Close]]</f>
        <v>2.2931861950202127E-4</v>
      </c>
      <c r="E89" s="6">
        <f>(C88-Table21[[#This Row],[Stock Close]])/Table21[[#This Row],[Stock Close]]</f>
        <v>2.5292124032582009E-4</v>
      </c>
      <c r="F89" s="6"/>
      <c r="G89" s="6"/>
    </row>
    <row r="90" spans="1:7">
      <c r="A90" s="62">
        <v>45194</v>
      </c>
      <c r="B90" s="63">
        <v>4337.4399999999996</v>
      </c>
      <c r="C90" s="6">
        <v>402.49</v>
      </c>
      <c r="D90" s="6">
        <f>(B89-Table21[[#This Row],[Index Close]])/Table21[[#This Row],[Index Close]]</f>
        <v>-1.4734497768268809E-2</v>
      </c>
      <c r="E90" s="6">
        <f>(C89-Table21[[#This Row],[Stock Close]])/Table21[[#This Row],[Stock Close]]</f>
        <v>-1.7665035156152982E-2</v>
      </c>
      <c r="F90" s="6"/>
      <c r="G90" s="6"/>
    </row>
    <row r="91" spans="1:7">
      <c r="A91" s="62">
        <v>45191</v>
      </c>
      <c r="B91" s="63">
        <v>4320.0600000000004</v>
      </c>
      <c r="C91" s="6">
        <v>402.22</v>
      </c>
      <c r="D91" s="6">
        <f>(B90-Table21[[#This Row],[Index Close]])/Table21[[#This Row],[Index Close]]</f>
        <v>4.0230922718664085E-3</v>
      </c>
      <c r="E91" s="6">
        <f>(C90-Table21[[#This Row],[Stock Close]])/Table21[[#This Row],[Stock Close]]</f>
        <v>6.7127442693049023E-4</v>
      </c>
      <c r="F91" s="6"/>
      <c r="G91" s="6"/>
    </row>
    <row r="92" spans="1:7">
      <c r="A92" s="62">
        <v>45190</v>
      </c>
      <c r="B92" s="63">
        <v>4330</v>
      </c>
      <c r="C92" s="6">
        <v>403.36</v>
      </c>
      <c r="D92" s="6">
        <f>(B91-Table21[[#This Row],[Index Close]])/Table21[[#This Row],[Index Close]]</f>
        <v>-2.2956120092377827E-3</v>
      </c>
      <c r="E92" s="6">
        <f>(C91-Table21[[#This Row],[Stock Close]])/Table21[[#This Row],[Stock Close]]</f>
        <v>-2.8262594208647023E-3</v>
      </c>
      <c r="F92" s="6"/>
      <c r="G92" s="6"/>
    </row>
    <row r="93" spans="1:7">
      <c r="A93" s="62">
        <v>45189</v>
      </c>
      <c r="B93" s="63">
        <v>4402.2</v>
      </c>
      <c r="C93" s="6">
        <v>410.52</v>
      </c>
      <c r="D93" s="6">
        <f>(B92-Table21[[#This Row],[Index Close]])/Table21[[#This Row],[Index Close]]</f>
        <v>-1.6400890463858939E-2</v>
      </c>
      <c r="E93" s="6">
        <f>(C92-Table21[[#This Row],[Stock Close]])/Table21[[#This Row],[Stock Close]]</f>
        <v>-1.7441293968625083E-2</v>
      </c>
      <c r="F93" s="6"/>
      <c r="G93" s="6"/>
    </row>
    <row r="94" spans="1:7">
      <c r="A94" s="62">
        <v>45188</v>
      </c>
      <c r="B94" s="63">
        <v>4443.95</v>
      </c>
      <c r="C94" s="6">
        <v>413.53</v>
      </c>
      <c r="D94" s="6">
        <f>(B93-Table21[[#This Row],[Index Close]])/Table21[[#This Row],[Index Close]]</f>
        <v>-9.3947951709627692E-3</v>
      </c>
      <c r="E94" s="6">
        <f>(C93-Table21[[#This Row],[Stock Close]])/Table21[[#This Row],[Stock Close]]</f>
        <v>-7.2787947670059994E-3</v>
      </c>
      <c r="F94" s="6"/>
      <c r="G94" s="6"/>
    </row>
    <row r="95" spans="1:7">
      <c r="A95" s="62">
        <v>45187</v>
      </c>
      <c r="B95" s="63">
        <v>4453.53</v>
      </c>
      <c r="C95" s="6">
        <v>417.13</v>
      </c>
      <c r="D95" s="6">
        <f>(B94-Table21[[#This Row],[Index Close]])/Table21[[#This Row],[Index Close]]</f>
        <v>-2.151102608492573E-3</v>
      </c>
      <c r="E95" s="6">
        <f>(C94-Table21[[#This Row],[Stock Close]])/Table21[[#This Row],[Stock Close]]</f>
        <v>-8.6304029918730912E-3</v>
      </c>
      <c r="F95" s="6"/>
      <c r="G95" s="6"/>
    </row>
    <row r="96" spans="1:7">
      <c r="A96" s="62">
        <v>45184</v>
      </c>
      <c r="B96" s="63">
        <v>4450.32</v>
      </c>
      <c r="C96" s="6">
        <v>414.31</v>
      </c>
      <c r="D96" s="6">
        <f>(B95-Table21[[#This Row],[Index Close]])/Table21[[#This Row],[Index Close]]</f>
        <v>7.2129644609826636E-4</v>
      </c>
      <c r="E96" s="6">
        <f>(C95-Table21[[#This Row],[Stock Close]])/Table21[[#This Row],[Stock Close]]</f>
        <v>6.8064975501435955E-3</v>
      </c>
      <c r="F96" s="6"/>
      <c r="G96" s="6"/>
    </row>
    <row r="97" spans="1:7">
      <c r="A97" s="62">
        <v>45183</v>
      </c>
      <c r="B97" s="63">
        <v>4505.1000000000004</v>
      </c>
      <c r="C97" s="6">
        <v>413.34</v>
      </c>
      <c r="D97" s="6">
        <f>(B96-Table21[[#This Row],[Index Close]])/Table21[[#This Row],[Index Close]]</f>
        <v>-1.2159552507158698E-2</v>
      </c>
      <c r="E97" s="6">
        <f>(C96-Table21[[#This Row],[Stock Close]])/Table21[[#This Row],[Stock Close]]</f>
        <v>2.3467363429622765E-3</v>
      </c>
      <c r="F97" s="6"/>
      <c r="G97" s="6"/>
    </row>
    <row r="98" spans="1:7">
      <c r="A98" s="62">
        <v>45182</v>
      </c>
      <c r="B98" s="63">
        <v>4467.4399999999996</v>
      </c>
      <c r="C98" s="6">
        <v>416.3</v>
      </c>
      <c r="D98" s="6">
        <f>(B97-Table21[[#This Row],[Index Close]])/Table21[[#This Row],[Index Close]]</f>
        <v>8.429883781315645E-3</v>
      </c>
      <c r="E98" s="6">
        <f>(C97-Table21[[#This Row],[Stock Close]])/Table21[[#This Row],[Stock Close]]</f>
        <v>-7.1102570261831286E-3</v>
      </c>
      <c r="F98" s="6"/>
      <c r="G98" s="6"/>
    </row>
    <row r="99" spans="1:7">
      <c r="A99" s="62">
        <v>45181</v>
      </c>
      <c r="B99" s="63">
        <v>4461.8999999999996</v>
      </c>
      <c r="C99" s="6">
        <v>416.27</v>
      </c>
      <c r="D99" s="6">
        <f>(B98-Table21[[#This Row],[Index Close]])/Table21[[#This Row],[Index Close]]</f>
        <v>1.2416235236110097E-3</v>
      </c>
      <c r="E99" s="6">
        <f>(C98-Table21[[#This Row],[Stock Close]])/Table21[[#This Row],[Stock Close]]</f>
        <v>7.2068609316139904E-5</v>
      </c>
      <c r="F99" s="6"/>
      <c r="G99" s="6"/>
    </row>
    <row r="100" spans="1:7">
      <c r="A100" s="62">
        <v>45180</v>
      </c>
      <c r="B100" s="63">
        <v>4487.46</v>
      </c>
      <c r="C100" s="6">
        <v>416.69</v>
      </c>
      <c r="D100" s="6">
        <f>(B99-Table21[[#This Row],[Index Close]])/Table21[[#This Row],[Index Close]]</f>
        <v>-5.6958724980279265E-3</v>
      </c>
      <c r="E100" s="6">
        <f>(C99-Table21[[#This Row],[Stock Close]])/Table21[[#This Row],[Stock Close]]</f>
        <v>-1.0079435551609492E-3</v>
      </c>
      <c r="F100" s="6"/>
      <c r="G100" s="6"/>
    </row>
    <row r="101" spans="1:7">
      <c r="A101" s="62">
        <v>45177</v>
      </c>
      <c r="B101" s="63">
        <v>4457.49</v>
      </c>
      <c r="C101" s="6">
        <v>414.84</v>
      </c>
      <c r="D101" s="6">
        <f>(B100-Table21[[#This Row],[Index Close]])/Table21[[#This Row],[Index Close]]</f>
        <v>6.723514803174041E-3</v>
      </c>
      <c r="E101" s="6">
        <f>(C100-Table21[[#This Row],[Stock Close]])/Table21[[#This Row],[Stock Close]]</f>
        <v>4.4595506701379396E-3</v>
      </c>
      <c r="F101" s="6"/>
      <c r="G101" s="6"/>
    </row>
    <row r="102" spans="1:7">
      <c r="A102" s="62">
        <v>45176</v>
      </c>
      <c r="B102" s="63">
        <v>4451.1400000000003</v>
      </c>
      <c r="C102" s="6">
        <v>414.62</v>
      </c>
      <c r="D102" s="6">
        <f>(B101-Table21[[#This Row],[Index Close]])/Table21[[#This Row],[Index Close]]</f>
        <v>1.4266008258557255E-3</v>
      </c>
      <c r="E102" s="6">
        <f>(C101-Table21[[#This Row],[Stock Close]])/Table21[[#This Row],[Stock Close]]</f>
        <v>5.306063383338248E-4</v>
      </c>
      <c r="F102" s="6"/>
      <c r="G102" s="6"/>
    </row>
    <row r="103" spans="1:7">
      <c r="A103" s="62">
        <v>45175</v>
      </c>
      <c r="B103" s="63">
        <v>4465.4799999999996</v>
      </c>
      <c r="C103" s="6">
        <v>413.18</v>
      </c>
      <c r="D103" s="6">
        <f>(B102-Table21[[#This Row],[Index Close]])/Table21[[#This Row],[Index Close]]</f>
        <v>-3.2113009127796425E-3</v>
      </c>
      <c r="E103" s="6">
        <f>(C102-Table21[[#This Row],[Stock Close]])/Table21[[#This Row],[Stock Close]]</f>
        <v>3.4851638511060501E-3</v>
      </c>
      <c r="F103" s="6"/>
      <c r="G103" s="6"/>
    </row>
    <row r="104" spans="1:7">
      <c r="A104" s="62">
        <v>45174</v>
      </c>
      <c r="B104" s="63">
        <v>4496.83</v>
      </c>
      <c r="C104" s="6">
        <v>411.5</v>
      </c>
      <c r="D104" s="6">
        <f>(B103-Table21[[#This Row],[Index Close]])/Table21[[#This Row],[Index Close]]</f>
        <v>-6.9715777558858943E-3</v>
      </c>
      <c r="E104" s="6">
        <f>(C103-Table21[[#This Row],[Stock Close]])/Table21[[#This Row],[Stock Close]]</f>
        <v>4.0826245443499557E-3</v>
      </c>
      <c r="F104" s="6"/>
      <c r="G104" s="6"/>
    </row>
    <row r="105" spans="1:7">
      <c r="A105" s="62">
        <v>45170</v>
      </c>
      <c r="B105" s="63">
        <v>4515.7700000000004</v>
      </c>
      <c r="C105" s="6">
        <v>415.57</v>
      </c>
      <c r="D105" s="6">
        <f>(B104-Table21[[#This Row],[Index Close]])/Table21[[#This Row],[Index Close]]</f>
        <v>-4.1941905810084458E-3</v>
      </c>
      <c r="E105" s="6">
        <f>(C104-Table21[[#This Row],[Stock Close]])/Table21[[#This Row],[Stock Close]]</f>
        <v>-9.7937772216473602E-3</v>
      </c>
      <c r="F105" s="6"/>
      <c r="G105" s="6"/>
    </row>
    <row r="106" spans="1:7">
      <c r="A106" s="62">
        <v>45169</v>
      </c>
      <c r="B106" s="63">
        <v>4507.66</v>
      </c>
      <c r="C106" s="6">
        <v>412.64</v>
      </c>
      <c r="D106" s="6">
        <f>(B105-Table21[[#This Row],[Index Close]])/Table21[[#This Row],[Index Close]]</f>
        <v>1.7991596526802337E-3</v>
      </c>
      <c r="E106" s="6">
        <f>(C105-Table21[[#This Row],[Stock Close]])/Table21[[#This Row],[Stock Close]]</f>
        <v>7.1006203955021495E-3</v>
      </c>
      <c r="F106" s="6"/>
      <c r="G106" s="6"/>
    </row>
    <row r="107" spans="1:7">
      <c r="A107" s="62">
        <v>45168</v>
      </c>
      <c r="B107" s="63">
        <v>4514.87</v>
      </c>
      <c r="C107" s="6">
        <v>413.91</v>
      </c>
      <c r="D107" s="6">
        <f>(B106-Table21[[#This Row],[Index Close]])/Table21[[#This Row],[Index Close]]</f>
        <v>-1.5969452055098012E-3</v>
      </c>
      <c r="E107" s="6">
        <f>(C106-Table21[[#This Row],[Stock Close]])/Table21[[#This Row],[Stock Close]]</f>
        <v>-3.0682998719529331E-3</v>
      </c>
      <c r="F107" s="6"/>
      <c r="G107" s="6"/>
    </row>
    <row r="108" spans="1:7">
      <c r="A108" s="62">
        <v>45167</v>
      </c>
      <c r="B108" s="63">
        <v>4497.63</v>
      </c>
      <c r="C108" s="6">
        <v>411.65</v>
      </c>
      <c r="D108" s="6">
        <f>(B107-Table21[[#This Row],[Index Close]])/Table21[[#This Row],[Index Close]]</f>
        <v>3.8331298928546325E-3</v>
      </c>
      <c r="E108" s="6">
        <f>(C107-Table21[[#This Row],[Stock Close]])/Table21[[#This Row],[Stock Close]]</f>
        <v>5.4901008137982462E-3</v>
      </c>
      <c r="F108" s="6"/>
      <c r="G108" s="6"/>
    </row>
    <row r="109" spans="1:7">
      <c r="A109" s="62">
        <v>45166</v>
      </c>
      <c r="B109" s="63">
        <v>4433.3100000000004</v>
      </c>
      <c r="C109" s="6">
        <v>407.44</v>
      </c>
      <c r="D109" s="6">
        <f>(B108-Table21[[#This Row],[Index Close]])/Table21[[#This Row],[Index Close]]</f>
        <v>1.4508347036412907E-2</v>
      </c>
      <c r="E109" s="6">
        <f>(C108-Table21[[#This Row],[Stock Close]])/Table21[[#This Row],[Stock Close]]</f>
        <v>1.0332809738857205E-2</v>
      </c>
      <c r="F109" s="6"/>
      <c r="G109" s="6"/>
    </row>
    <row r="110" spans="1:7">
      <c r="A110" s="62">
        <v>45163</v>
      </c>
      <c r="B110" s="63">
        <v>4405.71</v>
      </c>
      <c r="C110" s="6">
        <v>402.89</v>
      </c>
      <c r="D110" s="6">
        <f>(B109-Table21[[#This Row],[Index Close]])/Table21[[#This Row],[Index Close]]</f>
        <v>6.2645975336552712E-3</v>
      </c>
      <c r="E110" s="6">
        <f>(C109-Table21[[#This Row],[Stock Close]])/Table21[[#This Row],[Stock Close]]</f>
        <v>1.1293405147807122E-2</v>
      </c>
      <c r="F110" s="6"/>
      <c r="G110" s="6"/>
    </row>
    <row r="111" spans="1:7">
      <c r="A111" s="62">
        <v>45162</v>
      </c>
      <c r="B111" s="63">
        <v>4376.3100000000004</v>
      </c>
      <c r="C111" s="6">
        <v>397.67</v>
      </c>
      <c r="D111" s="6">
        <f>(B110-Table21[[#This Row],[Index Close]])/Table21[[#This Row],[Index Close]]</f>
        <v>6.7179884423177591E-3</v>
      </c>
      <c r="E111" s="6">
        <f>(C110-Table21[[#This Row],[Stock Close]])/Table21[[#This Row],[Stock Close]]</f>
        <v>1.3126461639047377E-2</v>
      </c>
      <c r="F111" s="6"/>
      <c r="G111" s="6"/>
    </row>
    <row r="112" spans="1:7">
      <c r="A112" s="62">
        <v>45161</v>
      </c>
      <c r="B112" s="63">
        <v>4436.01</v>
      </c>
      <c r="C112" s="6">
        <v>401.06</v>
      </c>
      <c r="D112" s="6">
        <f>(B111-Table21[[#This Row],[Index Close]])/Table21[[#This Row],[Index Close]]</f>
        <v>-1.3458039995401232E-2</v>
      </c>
      <c r="E112" s="6">
        <f>(C111-Table21[[#This Row],[Stock Close]])/Table21[[#This Row],[Stock Close]]</f>
        <v>-8.4526006083877388E-3</v>
      </c>
      <c r="F112" s="6"/>
      <c r="G112" s="6"/>
    </row>
    <row r="113" spans="1:7">
      <c r="A113" s="62">
        <v>45160</v>
      </c>
      <c r="B113" s="63">
        <v>4387.55</v>
      </c>
      <c r="C113" s="6">
        <v>397.84</v>
      </c>
      <c r="D113" s="6">
        <f>(B112-Table21[[#This Row],[Index Close]])/Table21[[#This Row],[Index Close]]</f>
        <v>1.1044888377340438E-2</v>
      </c>
      <c r="E113" s="6">
        <f>(C112-Table21[[#This Row],[Stock Close]])/Table21[[#This Row],[Stock Close]]</f>
        <v>8.0937060124673926E-3</v>
      </c>
      <c r="F113" s="6"/>
      <c r="G113" s="6"/>
    </row>
    <row r="114" spans="1:7">
      <c r="A114" s="62">
        <v>45159</v>
      </c>
      <c r="B114" s="63">
        <v>4399.7700000000004</v>
      </c>
      <c r="C114" s="6">
        <v>393.2</v>
      </c>
      <c r="D114" s="6">
        <f>(B113-Table21[[#This Row],[Index Close]])/Table21[[#This Row],[Index Close]]</f>
        <v>-2.777417910481742E-3</v>
      </c>
      <c r="E114" s="6">
        <f>(C113-Table21[[#This Row],[Stock Close]])/Table21[[#This Row],[Stock Close]]</f>
        <v>1.1800610376398745E-2</v>
      </c>
      <c r="F114" s="6"/>
      <c r="G114" s="6"/>
    </row>
    <row r="115" spans="1:7">
      <c r="A115" s="62">
        <v>45156</v>
      </c>
      <c r="B115" s="63">
        <v>4369.71</v>
      </c>
      <c r="C115" s="6">
        <v>392.17</v>
      </c>
      <c r="D115" s="6">
        <f>(B114-Table21[[#This Row],[Index Close]])/Table21[[#This Row],[Index Close]]</f>
        <v>6.8791750482298363E-3</v>
      </c>
      <c r="E115" s="6">
        <f>(C114-Table21[[#This Row],[Stock Close]])/Table21[[#This Row],[Stock Close]]</f>
        <v>2.6264120151974213E-3</v>
      </c>
      <c r="F115" s="6"/>
      <c r="G115" s="6"/>
    </row>
    <row r="116" spans="1:7">
      <c r="A116" s="62">
        <v>45155</v>
      </c>
      <c r="B116" s="63">
        <v>4370.3599999999997</v>
      </c>
      <c r="C116" s="6">
        <v>392.62</v>
      </c>
      <c r="D116" s="6">
        <f>(B115-Table21[[#This Row],[Index Close]])/Table21[[#This Row],[Index Close]]</f>
        <v>-1.4872916647590501E-4</v>
      </c>
      <c r="E116" s="6">
        <f>(C115-Table21[[#This Row],[Stock Close]])/Table21[[#This Row],[Stock Close]]</f>
        <v>-1.1461464011002715E-3</v>
      </c>
      <c r="F116" s="6"/>
      <c r="G116" s="6"/>
    </row>
    <row r="117" spans="1:7">
      <c r="A117" s="62">
        <v>45154</v>
      </c>
      <c r="B117" s="63">
        <v>4404.33</v>
      </c>
      <c r="C117" s="6">
        <v>394.37</v>
      </c>
      <c r="D117" s="6">
        <f>(B116-Table21[[#This Row],[Index Close]])/Table21[[#This Row],[Index Close]]</f>
        <v>-7.7128643857295558E-3</v>
      </c>
      <c r="E117" s="6">
        <f>(C116-Table21[[#This Row],[Stock Close]])/Table21[[#This Row],[Stock Close]]</f>
        <v>-4.4374572102340443E-3</v>
      </c>
      <c r="F117" s="6"/>
      <c r="G117" s="6"/>
    </row>
    <row r="118" spans="1:7">
      <c r="A118" s="62">
        <v>45153</v>
      </c>
      <c r="B118" s="63">
        <v>4437.8599999999997</v>
      </c>
      <c r="C118" s="6">
        <v>394.45</v>
      </c>
      <c r="D118" s="6">
        <f>(B117-Table21[[#This Row],[Index Close]])/Table21[[#This Row],[Index Close]]</f>
        <v>-7.5554433893813113E-3</v>
      </c>
      <c r="E118" s="6">
        <f>(C117-Table21[[#This Row],[Stock Close]])/Table21[[#This Row],[Stock Close]]</f>
        <v>-2.0281404487256709E-4</v>
      </c>
      <c r="F118" s="6"/>
      <c r="G118" s="6"/>
    </row>
    <row r="119" spans="1:7">
      <c r="A119" s="62">
        <v>45152</v>
      </c>
      <c r="B119" s="63">
        <v>4489.72</v>
      </c>
      <c r="C119" s="6">
        <v>398.58</v>
      </c>
      <c r="D119" s="6">
        <f>(B118-Table21[[#This Row],[Index Close]])/Table21[[#This Row],[Index Close]]</f>
        <v>-1.1550831677699406E-2</v>
      </c>
      <c r="E119" s="6">
        <f>(C118-Table21[[#This Row],[Stock Close]])/Table21[[#This Row],[Stock Close]]</f>
        <v>-1.0361784334387064E-2</v>
      </c>
      <c r="F119" s="6"/>
      <c r="G119" s="6"/>
    </row>
    <row r="120" spans="1:7">
      <c r="A120" s="62">
        <v>45149</v>
      </c>
      <c r="B120" s="63">
        <v>4464.05</v>
      </c>
      <c r="C120" s="6">
        <v>394.98</v>
      </c>
      <c r="D120" s="6">
        <f>(B119-Table21[[#This Row],[Index Close]])/Table21[[#This Row],[Index Close]]</f>
        <v>5.7503836202551653E-3</v>
      </c>
      <c r="E120" s="6">
        <f>(C119-Table21[[#This Row],[Stock Close]])/Table21[[#This Row],[Stock Close]]</f>
        <v>9.1143855385081921E-3</v>
      </c>
      <c r="F120" s="6"/>
      <c r="G120" s="6"/>
    </row>
    <row r="121" spans="1:7">
      <c r="A121" s="62">
        <v>45148</v>
      </c>
      <c r="B121" s="63">
        <v>4468.83</v>
      </c>
      <c r="C121" s="6">
        <v>397.14</v>
      </c>
      <c r="D121" s="6">
        <f>(B120-Table21[[#This Row],[Index Close]])/Table21[[#This Row],[Index Close]]</f>
        <v>-1.0696312010078132E-3</v>
      </c>
      <c r="E121" s="6">
        <f>(C120-Table21[[#This Row],[Stock Close]])/Table21[[#This Row],[Stock Close]]</f>
        <v>-5.4388880495542333E-3</v>
      </c>
      <c r="F121" s="6"/>
      <c r="G121" s="6"/>
    </row>
    <row r="122" spans="1:7">
      <c r="A122" s="62">
        <v>45147</v>
      </c>
      <c r="B122" s="63">
        <v>4467.71</v>
      </c>
      <c r="C122" s="6">
        <v>393.67</v>
      </c>
      <c r="D122" s="6">
        <f>(B121-Table21[[#This Row],[Index Close]])/Table21[[#This Row],[Index Close]]</f>
        <v>2.5068771249698186E-4</v>
      </c>
      <c r="E122" s="6">
        <f>(C121-Table21[[#This Row],[Stock Close]])/Table21[[#This Row],[Stock Close]]</f>
        <v>8.8144892930626419E-3</v>
      </c>
      <c r="F122" s="6"/>
      <c r="G122" s="6"/>
    </row>
    <row r="123" spans="1:7">
      <c r="A123" s="62">
        <v>45146</v>
      </c>
      <c r="B123" s="63">
        <v>4499.38</v>
      </c>
      <c r="C123" s="6">
        <v>393.19</v>
      </c>
      <c r="D123" s="6">
        <f>(B122-Table21[[#This Row],[Index Close]])/Table21[[#This Row],[Index Close]]</f>
        <v>-7.0387475607750563E-3</v>
      </c>
      <c r="E123" s="6">
        <f>(C122-Table21[[#This Row],[Stock Close]])/Table21[[#This Row],[Stock Close]]</f>
        <v>1.2207838449604979E-3</v>
      </c>
      <c r="F123" s="6"/>
      <c r="G123" s="6"/>
    </row>
    <row r="124" spans="1:7">
      <c r="A124" s="62">
        <v>45145</v>
      </c>
      <c r="B124" s="63">
        <v>4518.4399999999996</v>
      </c>
      <c r="C124" s="6">
        <v>396.87</v>
      </c>
      <c r="D124" s="6">
        <f>(B123-Table21[[#This Row],[Index Close]])/Table21[[#This Row],[Index Close]]</f>
        <v>-4.218270022396998E-3</v>
      </c>
      <c r="E124" s="6">
        <f>(C123-Table21[[#This Row],[Stock Close]])/Table21[[#This Row],[Stock Close]]</f>
        <v>-9.2725577645072863E-3</v>
      </c>
      <c r="F124" s="6"/>
      <c r="G124" s="6"/>
    </row>
    <row r="125" spans="1:7">
      <c r="A125" s="62">
        <v>45142</v>
      </c>
      <c r="B125" s="63">
        <v>4478.03</v>
      </c>
      <c r="C125" s="6">
        <v>391.35</v>
      </c>
      <c r="D125" s="6">
        <f>(B124-Table21[[#This Row],[Index Close]])/Table21[[#This Row],[Index Close]]</f>
        <v>9.024057453835695E-3</v>
      </c>
      <c r="E125" s="6">
        <f>(C124-Table21[[#This Row],[Stock Close]])/Table21[[#This Row],[Stock Close]]</f>
        <v>1.4105021080873852E-2</v>
      </c>
      <c r="F125" s="6"/>
      <c r="G125" s="6"/>
    </row>
    <row r="126" spans="1:7">
      <c r="A126" s="62">
        <v>45141</v>
      </c>
      <c r="B126" s="63">
        <v>4501.8900000000003</v>
      </c>
      <c r="C126" s="6">
        <v>393.01</v>
      </c>
      <c r="D126" s="6">
        <f>(B125-Table21[[#This Row],[Index Close]])/Table21[[#This Row],[Index Close]]</f>
        <v>-5.2999962238083516E-3</v>
      </c>
      <c r="E126" s="6">
        <f>(C125-Table21[[#This Row],[Stock Close]])/Table21[[#This Row],[Stock Close]]</f>
        <v>-4.2238110989541444E-3</v>
      </c>
      <c r="F126" s="6"/>
      <c r="G126" s="6"/>
    </row>
    <row r="127" spans="1:7">
      <c r="A127" s="62">
        <v>45140</v>
      </c>
      <c r="B127" s="63">
        <v>4513.3900000000003</v>
      </c>
      <c r="C127" s="6">
        <v>390.02</v>
      </c>
      <c r="D127" s="6">
        <f>(B126-Table21[[#This Row],[Index Close]])/Table21[[#This Row],[Index Close]]</f>
        <v>-2.5479739176096014E-3</v>
      </c>
      <c r="E127" s="6">
        <f>(C126-Table21[[#This Row],[Stock Close]])/Table21[[#This Row],[Stock Close]]</f>
        <v>7.6662735244346679E-3</v>
      </c>
      <c r="F127" s="6"/>
      <c r="G127" s="6"/>
    </row>
    <row r="128" spans="1:7">
      <c r="A128" s="62">
        <v>45139</v>
      </c>
      <c r="B128" s="63">
        <v>4576.7299999999996</v>
      </c>
      <c r="C128" s="6">
        <v>397.07</v>
      </c>
      <c r="D128" s="6">
        <f>(B127-Table21[[#This Row],[Index Close]])/Table21[[#This Row],[Index Close]]</f>
        <v>-1.3839575417382987E-2</v>
      </c>
      <c r="E128" s="6">
        <f>(C127-Table21[[#This Row],[Stock Close]])/Table21[[#This Row],[Stock Close]]</f>
        <v>-1.7755055783615008E-2</v>
      </c>
      <c r="F128" s="6"/>
      <c r="G128" s="6"/>
    </row>
    <row r="129" spans="1:7">
      <c r="A129" s="62">
        <v>45138</v>
      </c>
      <c r="B129" s="63">
        <v>4588.96</v>
      </c>
      <c r="C129" s="6">
        <v>394.28</v>
      </c>
      <c r="D129" s="6">
        <f>(B128-Table21[[#This Row],[Index Close]])/Table21[[#This Row],[Index Close]]</f>
        <v>-2.6650918726684202E-3</v>
      </c>
      <c r="E129" s="6">
        <f>(C128-Table21[[#This Row],[Stock Close]])/Table21[[#This Row],[Stock Close]]</f>
        <v>7.0761895099929507E-3</v>
      </c>
      <c r="F129" s="6"/>
      <c r="G129" s="6"/>
    </row>
    <row r="130" spans="1:7">
      <c r="A130" s="62">
        <v>45135</v>
      </c>
      <c r="B130" s="63">
        <v>4582.2299999999996</v>
      </c>
      <c r="C130" s="6">
        <v>392.96</v>
      </c>
      <c r="D130" s="6">
        <f>(B129-Table21[[#This Row],[Index Close]])/Table21[[#This Row],[Index Close]]</f>
        <v>1.4687171966488966E-3</v>
      </c>
      <c r="E130" s="6">
        <f>(C129-Table21[[#This Row],[Stock Close]])/Table21[[#This Row],[Stock Close]]</f>
        <v>3.3591205211726213E-3</v>
      </c>
      <c r="F130" s="6"/>
      <c r="G130" s="6"/>
    </row>
    <row r="131" spans="1:7">
      <c r="A131" s="62">
        <v>45134</v>
      </c>
      <c r="B131" s="63">
        <v>4537.41</v>
      </c>
      <c r="C131" s="6">
        <v>394.5</v>
      </c>
      <c r="D131" s="6">
        <f>(B130-Table21[[#This Row],[Index Close]])/Table21[[#This Row],[Index Close]]</f>
        <v>9.8778818753429178E-3</v>
      </c>
      <c r="E131" s="6">
        <f>(C130-Table21[[#This Row],[Stock Close]])/Table21[[#This Row],[Stock Close]]</f>
        <v>-3.9036755386565791E-3</v>
      </c>
      <c r="F131" s="6"/>
      <c r="G131" s="6"/>
    </row>
    <row r="132" spans="1:7">
      <c r="A132" s="62">
        <v>45133</v>
      </c>
      <c r="B132" s="63">
        <v>4566.75</v>
      </c>
      <c r="C132" s="6">
        <v>402.41</v>
      </c>
      <c r="D132" s="6">
        <f>(B131-Table21[[#This Row],[Index Close]])/Table21[[#This Row],[Index Close]]</f>
        <v>-6.4247002791920178E-3</v>
      </c>
      <c r="E132" s="6">
        <f>(C131-Table21[[#This Row],[Stock Close]])/Table21[[#This Row],[Stock Close]]</f>
        <v>-1.9656569170746315E-2</v>
      </c>
      <c r="F132" s="6"/>
      <c r="G132" s="6"/>
    </row>
    <row r="133" spans="1:7">
      <c r="A133" s="62">
        <v>45132</v>
      </c>
      <c r="B133" s="63">
        <v>4567.46</v>
      </c>
      <c r="C133" s="6">
        <v>401.28</v>
      </c>
      <c r="D133" s="6">
        <f>(B132-Table21[[#This Row],[Index Close]])/Table21[[#This Row],[Index Close]]</f>
        <v>-1.554474478156429E-4</v>
      </c>
      <c r="E133" s="6">
        <f>(C132-Table21[[#This Row],[Stock Close]])/Table21[[#This Row],[Stock Close]]</f>
        <v>2.8159888357258082E-3</v>
      </c>
      <c r="F133" s="6"/>
      <c r="G133" s="6"/>
    </row>
    <row r="134" spans="1:7">
      <c r="A134" s="62">
        <v>45131</v>
      </c>
      <c r="B134" s="63">
        <v>4554.6400000000003</v>
      </c>
      <c r="C134" s="6">
        <v>404.79</v>
      </c>
      <c r="D134" s="6">
        <f>(B133-Table21[[#This Row],[Index Close]])/Table21[[#This Row],[Index Close]]</f>
        <v>2.8147120299298533E-3</v>
      </c>
      <c r="E134" s="6">
        <f>(C133-Table21[[#This Row],[Stock Close]])/Table21[[#This Row],[Stock Close]]</f>
        <v>-8.6711628251687229E-3</v>
      </c>
      <c r="F134" s="6"/>
      <c r="G134" s="6"/>
    </row>
    <row r="135" spans="1:7">
      <c r="A135" s="62">
        <v>45128</v>
      </c>
      <c r="B135" s="63">
        <v>4536.34</v>
      </c>
      <c r="C135" s="6">
        <v>397.49</v>
      </c>
      <c r="D135" s="6">
        <f>(B134-Table21[[#This Row],[Index Close]])/Table21[[#This Row],[Index Close]]</f>
        <v>4.0340891555747981E-3</v>
      </c>
      <c r="E135" s="6">
        <f>(C134-Table21[[#This Row],[Stock Close]])/Table21[[#This Row],[Stock Close]]</f>
        <v>1.8365241892877835E-2</v>
      </c>
      <c r="F135" s="6"/>
      <c r="G135" s="6"/>
    </row>
    <row r="136" spans="1:7">
      <c r="A136" s="62">
        <v>45127</v>
      </c>
      <c r="B136" s="63">
        <v>4534.87</v>
      </c>
      <c r="C136" s="6">
        <v>398.06</v>
      </c>
      <c r="D136" s="6">
        <f>(B135-Table21[[#This Row],[Index Close]])/Table21[[#This Row],[Index Close]]</f>
        <v>3.2415482693004533E-4</v>
      </c>
      <c r="E136" s="6">
        <f>(C135-Table21[[#This Row],[Stock Close]])/Table21[[#This Row],[Stock Close]]</f>
        <v>-1.4319449329246675E-3</v>
      </c>
      <c r="F136" s="6"/>
      <c r="G136" s="6"/>
    </row>
    <row r="137" spans="1:7">
      <c r="A137" s="62">
        <v>45126</v>
      </c>
      <c r="B137" s="63">
        <v>4565.72</v>
      </c>
      <c r="C137" s="6">
        <v>398.27</v>
      </c>
      <c r="D137" s="6">
        <f>(B136-Table21[[#This Row],[Index Close]])/Table21[[#This Row],[Index Close]]</f>
        <v>-6.7568751478409459E-3</v>
      </c>
      <c r="E137" s="6">
        <f>(C136-Table21[[#This Row],[Stock Close]])/Table21[[#This Row],[Stock Close]]</f>
        <v>-5.2728048811102911E-4</v>
      </c>
      <c r="F137" s="6"/>
      <c r="G137" s="6"/>
    </row>
    <row r="138" spans="1:7">
      <c r="A138" s="62">
        <v>45125</v>
      </c>
      <c r="B138" s="63">
        <v>4554.9799999999996</v>
      </c>
      <c r="C138" s="6">
        <v>398.16</v>
      </c>
      <c r="D138" s="6">
        <f>(B137-Table21[[#This Row],[Index Close]])/Table21[[#This Row],[Index Close]]</f>
        <v>2.3578588709501891E-3</v>
      </c>
      <c r="E138" s="6">
        <f>(C137-Table21[[#This Row],[Stock Close]])/Table21[[#This Row],[Stock Close]]</f>
        <v>2.7627084589099056E-4</v>
      </c>
      <c r="F138" s="6"/>
      <c r="G138" s="6"/>
    </row>
    <row r="139" spans="1:7">
      <c r="A139" s="62">
        <v>45124</v>
      </c>
      <c r="B139" s="63">
        <v>4522.79</v>
      </c>
      <c r="C139" s="6">
        <v>402.2</v>
      </c>
      <c r="D139" s="6">
        <f>(B138-Table21[[#This Row],[Index Close]])/Table21[[#This Row],[Index Close]]</f>
        <v>7.1172882225351165E-3</v>
      </c>
      <c r="E139" s="6">
        <f>(C138-Table21[[#This Row],[Stock Close]])/Table21[[#This Row],[Stock Close]]</f>
        <v>-1.0044753853803988E-2</v>
      </c>
      <c r="F139" s="6"/>
      <c r="G139" s="6"/>
    </row>
    <row r="140" spans="1:7">
      <c r="A140" s="62">
        <v>45121</v>
      </c>
      <c r="B140" s="63">
        <v>4505.42</v>
      </c>
      <c r="C140" s="6">
        <v>402.51</v>
      </c>
      <c r="D140" s="6">
        <f>(B139-Table21[[#This Row],[Index Close]])/Table21[[#This Row],[Index Close]]</f>
        <v>3.8553564373576469E-3</v>
      </c>
      <c r="E140" s="6">
        <f>(C139-Table21[[#This Row],[Stock Close]])/Table21[[#This Row],[Stock Close]]</f>
        <v>-7.7016720081489226E-4</v>
      </c>
      <c r="F140" s="6"/>
      <c r="G140" s="6"/>
    </row>
    <row r="141" spans="1:7">
      <c r="A141" s="62">
        <v>45120</v>
      </c>
      <c r="B141" s="63">
        <v>4510.04</v>
      </c>
      <c r="C141" s="6">
        <v>400.56</v>
      </c>
      <c r="D141" s="6">
        <f>(B140-Table21[[#This Row],[Index Close]])/Table21[[#This Row],[Index Close]]</f>
        <v>-1.0243811584819405E-3</v>
      </c>
      <c r="E141" s="6">
        <f>(C140-Table21[[#This Row],[Stock Close]])/Table21[[#This Row],[Stock Close]]</f>
        <v>4.8681845416416736E-3</v>
      </c>
      <c r="F141" s="6"/>
      <c r="G141" s="6"/>
    </row>
    <row r="142" spans="1:7">
      <c r="A142" s="62">
        <v>45119</v>
      </c>
      <c r="B142" s="63">
        <v>4472.16</v>
      </c>
      <c r="C142" s="6">
        <v>400.69</v>
      </c>
      <c r="D142" s="6">
        <f>(B141-Table21[[#This Row],[Index Close]])/Table21[[#This Row],[Index Close]]</f>
        <v>8.470179957783288E-3</v>
      </c>
      <c r="E142" s="6">
        <f>(C141-Table21[[#This Row],[Stock Close]])/Table21[[#This Row],[Stock Close]]</f>
        <v>-3.2444034041277658E-4</v>
      </c>
      <c r="F142" s="6"/>
      <c r="G142" s="6"/>
    </row>
    <row r="143" spans="1:7">
      <c r="A143" s="62">
        <v>45118</v>
      </c>
      <c r="B143" s="63">
        <v>4439.26</v>
      </c>
      <c r="C143" s="6">
        <v>397.8</v>
      </c>
      <c r="D143" s="6">
        <f>(B142-Table21[[#This Row],[Index Close]])/Table21[[#This Row],[Index Close]]</f>
        <v>7.4111451007599543E-3</v>
      </c>
      <c r="E143" s="6">
        <f>(C142-Table21[[#This Row],[Stock Close]])/Table21[[#This Row],[Stock Close]]</f>
        <v>7.2649572649572305E-3</v>
      </c>
      <c r="F143" s="6"/>
      <c r="G143" s="6"/>
    </row>
    <row r="144" spans="1:7">
      <c r="A144" s="62">
        <v>45117</v>
      </c>
      <c r="B144" s="63">
        <v>4409.53</v>
      </c>
      <c r="C144" s="6">
        <v>392.16</v>
      </c>
      <c r="D144" s="6">
        <f>(B143-Table21[[#This Row],[Index Close]])/Table21[[#This Row],[Index Close]]</f>
        <v>6.7422151567174899E-3</v>
      </c>
      <c r="E144" s="6">
        <f>(C143-Table21[[#This Row],[Stock Close]])/Table21[[#This Row],[Stock Close]]</f>
        <v>1.4381884944920405E-2</v>
      </c>
      <c r="F144" s="6"/>
      <c r="G144" s="6"/>
    </row>
    <row r="145" spans="1:7">
      <c r="A145" s="62">
        <v>45114</v>
      </c>
      <c r="B145" s="63">
        <v>4398.95</v>
      </c>
      <c r="C145" s="6">
        <v>388.68</v>
      </c>
      <c r="D145" s="6">
        <f>(B144-Table21[[#This Row],[Index Close]])/Table21[[#This Row],[Index Close]]</f>
        <v>2.4051194034939993E-3</v>
      </c>
      <c r="E145" s="6">
        <f>(C144-Table21[[#This Row],[Stock Close]])/Table21[[#This Row],[Stock Close]]</f>
        <v>8.9533806730472832E-3</v>
      </c>
      <c r="F145" s="6"/>
      <c r="G145" s="6"/>
    </row>
    <row r="146" spans="1:7">
      <c r="A146" s="62">
        <v>45113</v>
      </c>
      <c r="B146" s="63">
        <v>4411.59</v>
      </c>
      <c r="C146" s="6">
        <v>393.14</v>
      </c>
      <c r="D146" s="6">
        <f>(B145-Table21[[#This Row],[Index Close]])/Table21[[#This Row],[Index Close]]</f>
        <v>-2.8651801277998017E-3</v>
      </c>
      <c r="E146" s="6">
        <f>(C145-Table21[[#This Row],[Stock Close]])/Table21[[#This Row],[Stock Close]]</f>
        <v>-1.1344559190110341E-2</v>
      </c>
      <c r="F146" s="6"/>
      <c r="G146" s="6"/>
    </row>
    <row r="147" spans="1:7">
      <c r="A147" s="62">
        <v>45112</v>
      </c>
      <c r="B147" s="63">
        <v>4446.82</v>
      </c>
      <c r="C147" s="6">
        <v>394.73</v>
      </c>
      <c r="D147" s="6">
        <f>(B146-Table21[[#This Row],[Index Close]])/Table21[[#This Row],[Index Close]]</f>
        <v>-7.9225154155103117E-3</v>
      </c>
      <c r="E147" s="6">
        <f>(C146-Table21[[#This Row],[Stock Close]])/Table21[[#This Row],[Stock Close]]</f>
        <v>-4.0280698198769584E-3</v>
      </c>
      <c r="F147" s="6"/>
      <c r="G147" s="6"/>
    </row>
    <row r="148" spans="1:7">
      <c r="A148" s="62">
        <v>45110</v>
      </c>
      <c r="B148" s="63">
        <v>4455.59</v>
      </c>
      <c r="C148" s="6">
        <v>393.96</v>
      </c>
      <c r="D148" s="6">
        <f>(B147-Table21[[#This Row],[Index Close]])/Table21[[#This Row],[Index Close]]</f>
        <v>-1.9683139606652398E-3</v>
      </c>
      <c r="E148" s="6">
        <f>(C147-Table21[[#This Row],[Stock Close]])/Table21[[#This Row],[Stock Close]]</f>
        <v>1.9545131485430977E-3</v>
      </c>
      <c r="F148" s="6"/>
      <c r="G148" s="6"/>
    </row>
    <row r="149" spans="1:7">
      <c r="A149" s="62">
        <v>45107</v>
      </c>
      <c r="B149" s="63">
        <v>4450.38</v>
      </c>
      <c r="C149" s="6">
        <v>393.3</v>
      </c>
      <c r="D149" s="6">
        <f>(B148-Table21[[#This Row],[Index Close]])/Table21[[#This Row],[Index Close]]</f>
        <v>1.1706865481150006E-3</v>
      </c>
      <c r="E149" s="6">
        <f>(C148-Table21[[#This Row],[Stock Close]])/Table21[[#This Row],[Stock Close]]</f>
        <v>1.6781083142638398E-3</v>
      </c>
      <c r="F149" s="6"/>
      <c r="G149" s="6"/>
    </row>
    <row r="150" spans="1:7">
      <c r="A150" s="62">
        <v>45106</v>
      </c>
      <c r="B150" s="63">
        <v>4396.4399999999996</v>
      </c>
      <c r="C150" s="6">
        <v>387.67</v>
      </c>
      <c r="D150" s="6">
        <f>(B149-Table21[[#This Row],[Index Close]])/Table21[[#This Row],[Index Close]]</f>
        <v>1.2269017659743E-2</v>
      </c>
      <c r="E150" s="6">
        <f>(C149-Table21[[#This Row],[Stock Close]])/Table21[[#This Row],[Stock Close]]</f>
        <v>1.452266102613046E-2</v>
      </c>
      <c r="F150" s="6"/>
      <c r="G150" s="6"/>
    </row>
    <row r="151" spans="1:7">
      <c r="A151" s="62">
        <v>45105</v>
      </c>
      <c r="B151" s="63">
        <v>4376.8599999999997</v>
      </c>
      <c r="C151" s="6">
        <v>380.23</v>
      </c>
      <c r="D151" s="6">
        <f>(B150-Table21[[#This Row],[Index Close]])/Table21[[#This Row],[Index Close]]</f>
        <v>4.4735266835128221E-3</v>
      </c>
      <c r="E151" s="6">
        <f>(C150-Table21[[#This Row],[Stock Close]])/Table21[[#This Row],[Stock Close]]</f>
        <v>1.95671041211898E-2</v>
      </c>
      <c r="F151" s="6"/>
      <c r="G151" s="6"/>
    </row>
    <row r="152" spans="1:7">
      <c r="A152" s="62">
        <v>45104</v>
      </c>
      <c r="B152" s="63">
        <v>4378.41</v>
      </c>
      <c r="C152" s="6">
        <v>381.79</v>
      </c>
      <c r="D152" s="6">
        <f>(B151-Table21[[#This Row],[Index Close]])/Table21[[#This Row],[Index Close]]</f>
        <v>-3.5400978894168934E-4</v>
      </c>
      <c r="E152" s="6">
        <f>(C151-Table21[[#This Row],[Stock Close]])/Table21[[#This Row],[Stock Close]]</f>
        <v>-4.086015872600126E-3</v>
      </c>
      <c r="F152" s="6"/>
      <c r="G152" s="6"/>
    </row>
    <row r="153" spans="1:7">
      <c r="A153" s="62">
        <v>45103</v>
      </c>
      <c r="B153" s="63">
        <v>4328.82</v>
      </c>
      <c r="C153" s="6">
        <v>377.42</v>
      </c>
      <c r="D153" s="6">
        <f>(B152-Table21[[#This Row],[Index Close]])/Table21[[#This Row],[Index Close]]</f>
        <v>1.1455777787018206E-2</v>
      </c>
      <c r="E153" s="6">
        <f>(C152-Table21[[#This Row],[Stock Close]])/Table21[[#This Row],[Stock Close]]</f>
        <v>1.1578612686132172E-2</v>
      </c>
      <c r="F153" s="6"/>
      <c r="G153" s="6"/>
    </row>
    <row r="154" spans="1:7">
      <c r="A154" s="62">
        <v>45100</v>
      </c>
      <c r="B154" s="63">
        <v>4348.33</v>
      </c>
      <c r="C154" s="6">
        <v>379.81</v>
      </c>
      <c r="D154" s="6">
        <f>(B153-Table21[[#This Row],[Index Close]])/Table21[[#This Row],[Index Close]]</f>
        <v>-4.4867799822001135E-3</v>
      </c>
      <c r="E154" s="6">
        <f>(C153-Table21[[#This Row],[Stock Close]])/Table21[[#This Row],[Stock Close]]</f>
        <v>-6.292619994207594E-3</v>
      </c>
      <c r="F154" s="6"/>
      <c r="G154" s="6"/>
    </row>
    <row r="155" spans="1:7">
      <c r="A155" s="62">
        <v>45099</v>
      </c>
      <c r="B155" s="63">
        <v>4381.8900000000003</v>
      </c>
      <c r="C155" s="6">
        <v>377.8</v>
      </c>
      <c r="D155" s="6">
        <f>(B154-Table21[[#This Row],[Index Close]])/Table21[[#This Row],[Index Close]]</f>
        <v>-7.6587956338475859E-3</v>
      </c>
      <c r="E155" s="6">
        <f>(C154-Table21[[#This Row],[Stock Close]])/Table21[[#This Row],[Stock Close]]</f>
        <v>5.320275277924804E-3</v>
      </c>
      <c r="F155" s="6"/>
      <c r="G155" s="6"/>
    </row>
    <row r="156" spans="1:7">
      <c r="A156" s="62">
        <v>45098</v>
      </c>
      <c r="B156" s="63">
        <v>4365.6899999999996</v>
      </c>
      <c r="C156" s="6">
        <v>376.14</v>
      </c>
      <c r="D156" s="6">
        <f>(B155-Table21[[#This Row],[Index Close]])/Table21[[#This Row],[Index Close]]</f>
        <v>3.7107536265746604E-3</v>
      </c>
      <c r="E156" s="6">
        <f>(C155-Table21[[#This Row],[Stock Close]])/Table21[[#This Row],[Stock Close]]</f>
        <v>4.4132503854948293E-3</v>
      </c>
      <c r="F156" s="6"/>
      <c r="G156" s="6"/>
    </row>
    <row r="157" spans="1:7">
      <c r="A157" s="62">
        <v>45097</v>
      </c>
      <c r="B157" s="63">
        <v>4388.71</v>
      </c>
      <c r="C157" s="6">
        <v>374.62</v>
      </c>
      <c r="D157" s="6">
        <f>(B156-Table21[[#This Row],[Index Close]])/Table21[[#This Row],[Index Close]]</f>
        <v>-5.2452770859775276E-3</v>
      </c>
      <c r="E157" s="6">
        <f>(C156-Table21[[#This Row],[Stock Close]])/Table21[[#This Row],[Stock Close]]</f>
        <v>4.0574448774757937E-3</v>
      </c>
      <c r="F157" s="6"/>
      <c r="G157" s="6"/>
    </row>
    <row r="158" spans="1:7">
      <c r="A158" s="62">
        <v>45093</v>
      </c>
      <c r="B158" s="63">
        <v>4409.59</v>
      </c>
      <c r="C158" s="6">
        <v>376.53</v>
      </c>
      <c r="D158" s="6">
        <f>(B157-Table21[[#This Row],[Index Close]])/Table21[[#This Row],[Index Close]]</f>
        <v>-4.7351341054383987E-3</v>
      </c>
      <c r="E158" s="6">
        <f>(C157-Table21[[#This Row],[Stock Close]])/Table21[[#This Row],[Stock Close]]</f>
        <v>-5.0726369744773809E-3</v>
      </c>
      <c r="F158" s="6"/>
      <c r="G158" s="6"/>
    </row>
    <row r="159" spans="1:7">
      <c r="A159" s="62">
        <v>45092</v>
      </c>
      <c r="B159" s="63">
        <v>4425.84</v>
      </c>
      <c r="C159" s="6">
        <v>379.04</v>
      </c>
      <c r="D159" s="6">
        <f>(B158-Table21[[#This Row],[Index Close]])/Table21[[#This Row],[Index Close]]</f>
        <v>-3.671619398803391E-3</v>
      </c>
      <c r="E159" s="6">
        <f>(C158-Table21[[#This Row],[Stock Close]])/Table21[[#This Row],[Stock Close]]</f>
        <v>-6.6219924018574494E-3</v>
      </c>
      <c r="F159" s="6"/>
      <c r="G159" s="6"/>
    </row>
    <row r="160" spans="1:7">
      <c r="A160" s="62">
        <v>45091</v>
      </c>
      <c r="B160" s="63">
        <v>4372.59</v>
      </c>
      <c r="C160" s="6">
        <v>374.76</v>
      </c>
      <c r="D160" s="6">
        <f>(B159-Table21[[#This Row],[Index Close]])/Table21[[#This Row],[Index Close]]</f>
        <v>1.2178136985173546E-2</v>
      </c>
      <c r="E160" s="6">
        <f>(C159-Table21[[#This Row],[Stock Close]])/Table21[[#This Row],[Stock Close]]</f>
        <v>1.1420642544561932E-2</v>
      </c>
      <c r="F160" s="6"/>
      <c r="G160" s="6"/>
    </row>
    <row r="161" spans="1:7">
      <c r="A161" s="62">
        <v>45090</v>
      </c>
      <c r="B161" s="63">
        <v>4369.01</v>
      </c>
      <c r="C161" s="6">
        <v>371.38</v>
      </c>
      <c r="D161" s="6">
        <f>(B160-Table21[[#This Row],[Index Close]])/Table21[[#This Row],[Index Close]]</f>
        <v>8.1940760034880373E-4</v>
      </c>
      <c r="E161" s="6">
        <f>(C160-Table21[[#This Row],[Stock Close]])/Table21[[#This Row],[Stock Close]]</f>
        <v>9.1011901556357251E-3</v>
      </c>
      <c r="F161" s="6"/>
      <c r="G161" s="6"/>
    </row>
    <row r="162" spans="1:7">
      <c r="A162" s="62">
        <v>45089</v>
      </c>
      <c r="B162" s="63">
        <v>4338.93</v>
      </c>
      <c r="C162" s="6">
        <v>375.31</v>
      </c>
      <c r="D162" s="6">
        <f>(B161-Table21[[#This Row],[Index Close]])/Table21[[#This Row],[Index Close]]</f>
        <v>6.9325847616808576E-3</v>
      </c>
      <c r="E162" s="6">
        <f>(C161-Table21[[#This Row],[Stock Close]])/Table21[[#This Row],[Stock Close]]</f>
        <v>-1.0471343689216933E-2</v>
      </c>
      <c r="F162" s="6"/>
      <c r="G162" s="6"/>
    </row>
    <row r="163" spans="1:7">
      <c r="A163" s="62">
        <v>45086</v>
      </c>
      <c r="B163" s="63">
        <v>4298.8599999999997</v>
      </c>
      <c r="C163" s="6">
        <v>369.22</v>
      </c>
      <c r="D163" s="6">
        <f>(B162-Table21[[#This Row],[Index Close]])/Table21[[#This Row],[Index Close]]</f>
        <v>9.3210758201012871E-3</v>
      </c>
      <c r="E163" s="6">
        <f>(C162-Table21[[#This Row],[Stock Close]])/Table21[[#This Row],[Stock Close]]</f>
        <v>1.6494231081739814E-2</v>
      </c>
      <c r="F163" s="6"/>
      <c r="G163" s="6"/>
    </row>
    <row r="164" spans="1:7">
      <c r="A164" s="62">
        <v>45085</v>
      </c>
      <c r="B164" s="63">
        <v>4293.93</v>
      </c>
      <c r="C164" s="6">
        <v>367.59</v>
      </c>
      <c r="D164" s="6">
        <f>(B163-Table21[[#This Row],[Index Close]])/Table21[[#This Row],[Index Close]]</f>
        <v>1.1481323635921827E-3</v>
      </c>
      <c r="E164" s="6">
        <f>(C163-Table21[[#This Row],[Stock Close]])/Table21[[#This Row],[Stock Close]]</f>
        <v>4.4342882015290198E-3</v>
      </c>
      <c r="F164" s="6"/>
      <c r="G164" s="6"/>
    </row>
    <row r="165" spans="1:7">
      <c r="A165" s="62">
        <v>45084</v>
      </c>
      <c r="B165" s="63">
        <v>4267.5200000000004</v>
      </c>
      <c r="C165" s="6">
        <v>371.39</v>
      </c>
      <c r="D165" s="6">
        <f>(B164-Table21[[#This Row],[Index Close]])/Table21[[#This Row],[Index Close]]</f>
        <v>6.1886060287942067E-3</v>
      </c>
      <c r="E165" s="6">
        <f>(C164-Table21[[#This Row],[Stock Close]])/Table21[[#This Row],[Stock Close]]</f>
        <v>-1.023183176714508E-2</v>
      </c>
      <c r="F165" s="6"/>
      <c r="G165" s="6"/>
    </row>
    <row r="166" spans="1:7">
      <c r="A166" s="62">
        <v>45083</v>
      </c>
      <c r="B166" s="63">
        <v>4283.8500000000004</v>
      </c>
      <c r="C166" s="6">
        <v>379.96</v>
      </c>
      <c r="D166" s="6">
        <f>(B165-Table21[[#This Row],[Index Close]])/Table21[[#This Row],[Index Close]]</f>
        <v>-3.8119915496574171E-3</v>
      </c>
      <c r="E166" s="6">
        <f>(C165-Table21[[#This Row],[Stock Close]])/Table21[[#This Row],[Stock Close]]</f>
        <v>-2.2555005790083151E-2</v>
      </c>
      <c r="F166" s="6"/>
      <c r="G166" s="6"/>
    </row>
    <row r="167" spans="1:7">
      <c r="A167" s="62">
        <v>45082</v>
      </c>
      <c r="B167" s="63">
        <v>4273.79</v>
      </c>
      <c r="C167" s="6">
        <v>370.52</v>
      </c>
      <c r="D167" s="6">
        <f>(B166-Table21[[#This Row],[Index Close]])/Table21[[#This Row],[Index Close]]</f>
        <v>2.35388261940816E-3</v>
      </c>
      <c r="E167" s="6">
        <f>(C166-Table21[[#This Row],[Stock Close]])/Table21[[#This Row],[Stock Close]]</f>
        <v>2.5477707006369421E-2</v>
      </c>
      <c r="F167" s="6"/>
      <c r="G167" s="6"/>
    </row>
    <row r="168" spans="1:7">
      <c r="A168" s="62">
        <v>45079</v>
      </c>
      <c r="B168" s="63">
        <v>4282.37</v>
      </c>
      <c r="C168" s="6">
        <v>373.73</v>
      </c>
      <c r="D168" s="6">
        <f>(B167-Table21[[#This Row],[Index Close]])/Table21[[#This Row],[Index Close]]</f>
        <v>-2.0035634473433935E-3</v>
      </c>
      <c r="E168" s="6">
        <f>(C167-Table21[[#This Row],[Stock Close]])/Table21[[#This Row],[Stock Close]]</f>
        <v>-8.5890883793113652E-3</v>
      </c>
      <c r="F168" s="6"/>
      <c r="G168" s="6"/>
    </row>
    <row r="169" spans="1:7">
      <c r="A169" s="62">
        <v>45078</v>
      </c>
      <c r="B169" s="63">
        <v>4221.0200000000004</v>
      </c>
      <c r="C169" s="6">
        <v>370.88</v>
      </c>
      <c r="D169" s="6">
        <f>(B168-Table21[[#This Row],[Index Close]])/Table21[[#This Row],[Index Close]]</f>
        <v>1.4534401637518762E-2</v>
      </c>
      <c r="E169" s="6">
        <f>(C168-Table21[[#This Row],[Stock Close]])/Table21[[#This Row],[Stock Close]]</f>
        <v>7.6844262295082582E-3</v>
      </c>
      <c r="F169" s="6"/>
      <c r="G169" s="6"/>
    </row>
    <row r="170" spans="1:7">
      <c r="A170" s="62">
        <v>45077</v>
      </c>
      <c r="B170" s="63">
        <v>4179.83</v>
      </c>
      <c r="C170" s="6">
        <v>365.02</v>
      </c>
      <c r="D170" s="6">
        <f>(B169-Table21[[#This Row],[Index Close]])/Table21[[#This Row],[Index Close]]</f>
        <v>9.8544677654355591E-3</v>
      </c>
      <c r="E170" s="6">
        <f>(C169-Table21[[#This Row],[Stock Close]])/Table21[[#This Row],[Stock Close]]</f>
        <v>1.6053914853980642E-2</v>
      </c>
      <c r="F170" s="6"/>
      <c r="G170" s="6"/>
    </row>
    <row r="171" spans="1:7">
      <c r="A171" s="62">
        <v>45076</v>
      </c>
      <c r="B171" s="63">
        <v>4205.5200000000004</v>
      </c>
      <c r="C171" s="6">
        <v>367.5</v>
      </c>
      <c r="D171" s="6">
        <f>(B170-Table21[[#This Row],[Index Close]])/Table21[[#This Row],[Index Close]]</f>
        <v>-6.1086381707851842E-3</v>
      </c>
      <c r="E171" s="6">
        <f>(C170-Table21[[#This Row],[Stock Close]])/Table21[[#This Row],[Stock Close]]</f>
        <v>-6.7482993197279404E-3</v>
      </c>
      <c r="F171" s="6"/>
      <c r="G171" s="6"/>
    </row>
    <row r="172" spans="1:7">
      <c r="A172" s="62">
        <v>45072</v>
      </c>
      <c r="B172" s="63">
        <v>4205.45</v>
      </c>
      <c r="C172" s="6">
        <v>374.37</v>
      </c>
      <c r="D172" s="6">
        <f>(B171-Table21[[#This Row],[Index Close]])/Table21[[#This Row],[Index Close]]</f>
        <v>1.6645067709904639E-5</v>
      </c>
      <c r="E172" s="6">
        <f>(C171-Table21[[#This Row],[Stock Close]])/Table21[[#This Row],[Stock Close]]</f>
        <v>-1.8350829393380893E-2</v>
      </c>
      <c r="F172" s="6"/>
      <c r="G172" s="6"/>
    </row>
    <row r="173" spans="1:7">
      <c r="A173" s="62">
        <v>45071</v>
      </c>
      <c r="B173" s="63">
        <v>4151.28</v>
      </c>
      <c r="C173" s="6">
        <v>370.04</v>
      </c>
      <c r="D173" s="6">
        <f>(B172-Table21[[#This Row],[Index Close]])/Table21[[#This Row],[Index Close]]</f>
        <v>1.3048987300302576E-2</v>
      </c>
      <c r="E173" s="6">
        <f>(C172-Table21[[#This Row],[Stock Close]])/Table21[[#This Row],[Stock Close]]</f>
        <v>1.1701437682412668E-2</v>
      </c>
      <c r="F173" s="6"/>
      <c r="G173" s="6"/>
    </row>
    <row r="174" spans="1:7">
      <c r="A174" s="62">
        <v>45070</v>
      </c>
      <c r="B174" s="63">
        <v>4115.24</v>
      </c>
      <c r="C174" s="6">
        <v>368.5</v>
      </c>
      <c r="D174" s="6">
        <f>(B173-Table21[[#This Row],[Index Close]])/Table21[[#This Row],[Index Close]]</f>
        <v>8.757690924466122E-3</v>
      </c>
      <c r="E174" s="6">
        <f>(C173-Table21[[#This Row],[Stock Close]])/Table21[[#This Row],[Stock Close]]</f>
        <v>4.1791044776119954E-3</v>
      </c>
      <c r="F174" s="6"/>
      <c r="G174" s="6"/>
    </row>
    <row r="175" spans="1:7">
      <c r="A175" s="62">
        <v>45069</v>
      </c>
      <c r="B175" s="63">
        <v>4145.58</v>
      </c>
      <c r="C175" s="6">
        <v>373.75</v>
      </c>
      <c r="D175" s="6">
        <f>(B174-Table21[[#This Row],[Index Close]])/Table21[[#This Row],[Index Close]]</f>
        <v>-7.3186381640205104E-3</v>
      </c>
      <c r="E175" s="6">
        <f>(C174-Table21[[#This Row],[Stock Close]])/Table21[[#This Row],[Stock Close]]</f>
        <v>-1.4046822742474917E-2</v>
      </c>
      <c r="F175" s="6"/>
      <c r="G175" s="6"/>
    </row>
    <row r="176" spans="1:7">
      <c r="A176" s="62">
        <v>45068</v>
      </c>
      <c r="B176" s="63">
        <v>4192.63</v>
      </c>
      <c r="C176" s="6">
        <v>384.53</v>
      </c>
      <c r="D176" s="6">
        <f>(B175-Table21[[#This Row],[Index Close]])/Table21[[#This Row],[Index Close]]</f>
        <v>-1.1222073018606503E-2</v>
      </c>
      <c r="E176" s="6">
        <f>(C175-Table21[[#This Row],[Stock Close]])/Table21[[#This Row],[Stock Close]]</f>
        <v>-2.8034223597638606E-2</v>
      </c>
      <c r="F176" s="6"/>
      <c r="G176" s="6"/>
    </row>
    <row r="177" spans="1:7">
      <c r="A177" s="62">
        <v>45065</v>
      </c>
      <c r="B177" s="63">
        <v>4191.9799999999996</v>
      </c>
      <c r="C177" s="6">
        <v>385.57</v>
      </c>
      <c r="D177" s="6">
        <f>(B176-Table21[[#This Row],[Index Close]])/Table21[[#This Row],[Index Close]]</f>
        <v>1.5505799168902184E-4</v>
      </c>
      <c r="E177" s="6">
        <f>(C176-Table21[[#This Row],[Stock Close]])/Table21[[#This Row],[Stock Close]]</f>
        <v>-2.6973052882745558E-3</v>
      </c>
      <c r="F177" s="6"/>
      <c r="G177" s="6"/>
    </row>
    <row r="178" spans="1:7">
      <c r="A178" s="62">
        <v>45064</v>
      </c>
      <c r="B178" s="63">
        <v>4198.05</v>
      </c>
      <c r="C178" s="6">
        <v>392.02</v>
      </c>
      <c r="D178" s="6">
        <f>(B177-Table21[[#This Row],[Index Close]])/Table21[[#This Row],[Index Close]]</f>
        <v>-1.4459094103216061E-3</v>
      </c>
      <c r="E178" s="6">
        <f>(C177-Table21[[#This Row],[Stock Close]])/Table21[[#This Row],[Stock Close]]</f>
        <v>-1.6453242181521322E-2</v>
      </c>
      <c r="F178" s="6"/>
      <c r="G178" s="6"/>
    </row>
    <row r="179" spans="1:7">
      <c r="A179" s="62">
        <v>45063</v>
      </c>
      <c r="B179" s="63">
        <v>4158.7700000000004</v>
      </c>
      <c r="C179" s="6">
        <v>387</v>
      </c>
      <c r="D179" s="6">
        <f>(B178-Table21[[#This Row],[Index Close]])/Table21[[#This Row],[Index Close]]</f>
        <v>9.4451003541912004E-3</v>
      </c>
      <c r="E179" s="6">
        <f>(C178-Table21[[#This Row],[Stock Close]])/Table21[[#This Row],[Stock Close]]</f>
        <v>1.2971576227390133E-2</v>
      </c>
      <c r="F179" s="6"/>
      <c r="G179" s="6"/>
    </row>
    <row r="180" spans="1:7">
      <c r="A180" s="62">
        <v>45062</v>
      </c>
      <c r="B180" s="63">
        <v>4109.8999999999996</v>
      </c>
      <c r="C180" s="6">
        <v>380.24</v>
      </c>
      <c r="D180" s="6">
        <f>(B179-Table21[[#This Row],[Index Close]])/Table21[[#This Row],[Index Close]]</f>
        <v>1.1890800262780311E-2</v>
      </c>
      <c r="E180" s="6">
        <f>(C179-Table21[[#This Row],[Stock Close]])/Table21[[#This Row],[Stock Close]]</f>
        <v>1.7778245318746031E-2</v>
      </c>
      <c r="F180" s="6"/>
      <c r="G180" s="6"/>
    </row>
    <row r="181" spans="1:7">
      <c r="A181" s="62">
        <v>45061</v>
      </c>
      <c r="B181" s="63">
        <v>4136.28</v>
      </c>
      <c r="C181" s="6">
        <v>383.41</v>
      </c>
      <c r="D181" s="6">
        <f>(B180-Table21[[#This Row],[Index Close]])/Table21[[#This Row],[Index Close]]</f>
        <v>-6.3777113735047214E-3</v>
      </c>
      <c r="E181" s="6">
        <f>(C180-Table21[[#This Row],[Stock Close]])/Table21[[#This Row],[Stock Close]]</f>
        <v>-8.267911635064332E-3</v>
      </c>
      <c r="F181" s="6"/>
      <c r="G181" s="6"/>
    </row>
    <row r="182" spans="1:7">
      <c r="A182" s="62">
        <v>45058</v>
      </c>
      <c r="B182" s="63">
        <v>4124.08</v>
      </c>
      <c r="C182" s="6">
        <v>381.92</v>
      </c>
      <c r="D182" s="6">
        <f>(B181-Table21[[#This Row],[Index Close]])/Table21[[#This Row],[Index Close]]</f>
        <v>2.9582355337432393E-3</v>
      </c>
      <c r="E182" s="6">
        <f>(C181-Table21[[#This Row],[Stock Close]])/Table21[[#This Row],[Stock Close]]</f>
        <v>3.9013405948890058E-3</v>
      </c>
      <c r="F182" s="6"/>
      <c r="G182" s="6"/>
    </row>
    <row r="183" spans="1:7">
      <c r="A183" s="62">
        <v>45057</v>
      </c>
      <c r="B183" s="63">
        <v>4130.62</v>
      </c>
      <c r="C183" s="6">
        <v>383.39</v>
      </c>
      <c r="D183" s="6">
        <f>(B182-Table21[[#This Row],[Index Close]])/Table21[[#This Row],[Index Close]]</f>
        <v>-1.5832974226629329E-3</v>
      </c>
      <c r="E183" s="6">
        <f>(C182-Table21[[#This Row],[Stock Close]])/Table21[[#This Row],[Stock Close]]</f>
        <v>-3.8342158115756034E-3</v>
      </c>
      <c r="F183" s="6"/>
      <c r="G183" s="6"/>
    </row>
    <row r="184" spans="1:7">
      <c r="A184" s="62">
        <v>45056</v>
      </c>
      <c r="B184" s="63">
        <v>4137.6400000000003</v>
      </c>
      <c r="C184" s="6">
        <v>382.54</v>
      </c>
      <c r="D184" s="6">
        <f>(B183-Table21[[#This Row],[Index Close]])/Table21[[#This Row],[Index Close]]</f>
        <v>-1.6966193288929041E-3</v>
      </c>
      <c r="E184" s="6">
        <f>(C183-Table21[[#This Row],[Stock Close]])/Table21[[#This Row],[Stock Close]]</f>
        <v>2.2219898572697389E-3</v>
      </c>
      <c r="F184" s="6"/>
      <c r="G184" s="6"/>
    </row>
    <row r="185" spans="1:7">
      <c r="A185" s="62">
        <v>45055</v>
      </c>
      <c r="B185" s="63">
        <v>4119.17</v>
      </c>
      <c r="C185" s="6">
        <v>382.94</v>
      </c>
      <c r="D185" s="6">
        <f>(B184-Table21[[#This Row],[Index Close]])/Table21[[#This Row],[Index Close]]</f>
        <v>4.4839130213126079E-3</v>
      </c>
      <c r="E185" s="6">
        <f>(C184-Table21[[#This Row],[Stock Close]])/Table21[[#This Row],[Stock Close]]</f>
        <v>-1.044550060061569E-3</v>
      </c>
      <c r="F185" s="6"/>
      <c r="G185" s="6"/>
    </row>
    <row r="186" spans="1:7">
      <c r="A186" s="62">
        <v>45054</v>
      </c>
      <c r="B186" s="63">
        <v>4138.12</v>
      </c>
      <c r="C186" s="6">
        <v>385.51</v>
      </c>
      <c r="D186" s="6">
        <f>(B185-Table21[[#This Row],[Index Close]])/Table21[[#This Row],[Index Close]]</f>
        <v>-4.5793742085777642E-3</v>
      </c>
      <c r="E186" s="6">
        <f>(C185-Table21[[#This Row],[Stock Close]])/Table21[[#This Row],[Stock Close]]</f>
        <v>-6.6664937355710441E-3</v>
      </c>
      <c r="F186" s="6"/>
      <c r="G186" s="6"/>
    </row>
    <row r="187" spans="1:7">
      <c r="A187" s="62">
        <v>45051</v>
      </c>
      <c r="B187" s="63">
        <v>4136.25</v>
      </c>
      <c r="C187" s="6">
        <v>384.66</v>
      </c>
      <c r="D187" s="6">
        <f>(B186-Table21[[#This Row],[Index Close]])/Table21[[#This Row],[Index Close]]</f>
        <v>4.5210033242668865E-4</v>
      </c>
      <c r="E187" s="6">
        <f>(C186-Table21[[#This Row],[Stock Close]])/Table21[[#This Row],[Stock Close]]</f>
        <v>2.2097436697342222E-3</v>
      </c>
      <c r="F187" s="6"/>
      <c r="G187" s="6"/>
    </row>
    <row r="188" spans="1:7">
      <c r="A188" s="62">
        <v>45050</v>
      </c>
      <c r="B188" s="63">
        <v>4061.22</v>
      </c>
      <c r="C188" s="6">
        <v>376.12</v>
      </c>
      <c r="D188" s="6">
        <f>(B187-Table21[[#This Row],[Index Close]])/Table21[[#This Row],[Index Close]]</f>
        <v>1.8474744042430651E-2</v>
      </c>
      <c r="E188" s="6">
        <f>(C187-Table21[[#This Row],[Stock Close]])/Table21[[#This Row],[Stock Close]]</f>
        <v>2.2705519515048442E-2</v>
      </c>
      <c r="F188" s="6"/>
      <c r="G188" s="6"/>
    </row>
    <row r="189" spans="1:7">
      <c r="A189" s="62">
        <v>45049</v>
      </c>
      <c r="B189" s="63">
        <v>4090.75</v>
      </c>
      <c r="C189" s="6">
        <v>374.9</v>
      </c>
      <c r="D189" s="6">
        <f>(B188-Table21[[#This Row],[Index Close]])/Table21[[#This Row],[Index Close]]</f>
        <v>-7.2187251726456517E-3</v>
      </c>
      <c r="E189" s="6">
        <f>(C188-Table21[[#This Row],[Stock Close]])/Table21[[#This Row],[Stock Close]]</f>
        <v>3.2542011202988195E-3</v>
      </c>
      <c r="F189" s="6"/>
      <c r="G189" s="6"/>
    </row>
    <row r="190" spans="1:7">
      <c r="A190" s="62">
        <v>45048</v>
      </c>
      <c r="B190" s="63">
        <v>4119.58</v>
      </c>
      <c r="C190" s="6">
        <v>376.03</v>
      </c>
      <c r="D190" s="6">
        <f>(B189-Table21[[#This Row],[Index Close]])/Table21[[#This Row],[Index Close]]</f>
        <v>-6.9982862330625764E-3</v>
      </c>
      <c r="E190" s="6">
        <f>(C189-Table21[[#This Row],[Stock Close]])/Table21[[#This Row],[Stock Close]]</f>
        <v>-3.0050793819641933E-3</v>
      </c>
      <c r="F190" s="6"/>
      <c r="G190" s="6"/>
    </row>
    <row r="191" spans="1:7">
      <c r="A191" s="62">
        <v>45047</v>
      </c>
      <c r="B191" s="63">
        <v>4167.87</v>
      </c>
      <c r="C191" s="6">
        <v>379.86</v>
      </c>
      <c r="D191" s="6">
        <f>(B190-Table21[[#This Row],[Index Close]])/Table21[[#This Row],[Index Close]]</f>
        <v>-1.1586253889876596E-2</v>
      </c>
      <c r="E191" s="6">
        <f>(C190-Table21[[#This Row],[Stock Close]])/Table21[[#This Row],[Stock Close]]</f>
        <v>-1.0082662033380827E-2</v>
      </c>
      <c r="F191" s="6"/>
      <c r="G191" s="6"/>
    </row>
    <row r="192" spans="1:7">
      <c r="A192" s="62">
        <v>45044</v>
      </c>
      <c r="B192" s="63">
        <v>4169.4799999999996</v>
      </c>
      <c r="C192" s="6">
        <v>380.03</v>
      </c>
      <c r="D192" s="6">
        <f>(B191-Table21[[#This Row],[Index Close]])/Table21[[#This Row],[Index Close]]</f>
        <v>-3.8613927875890346E-4</v>
      </c>
      <c r="E192" s="6">
        <f>(C191-Table21[[#This Row],[Stock Close]])/Table21[[#This Row],[Stock Close]]</f>
        <v>-4.4733310528105434E-4</v>
      </c>
      <c r="F192" s="6"/>
      <c r="G192" s="6"/>
    </row>
    <row r="193" spans="1:7">
      <c r="A193" s="62">
        <v>45043</v>
      </c>
      <c r="B193" s="63">
        <v>4135.3500000000004</v>
      </c>
      <c r="C193" s="6">
        <v>373.67</v>
      </c>
      <c r="D193" s="6">
        <f>(B192-Table21[[#This Row],[Index Close]])/Table21[[#This Row],[Index Close]]</f>
        <v>8.2532312863479989E-3</v>
      </c>
      <c r="E193" s="6">
        <f>(C192-Table21[[#This Row],[Stock Close]])/Table21[[#This Row],[Stock Close]]</f>
        <v>1.7020365563197356E-2</v>
      </c>
      <c r="F193" s="6"/>
      <c r="G193" s="6"/>
    </row>
    <row r="194" spans="1:7">
      <c r="A194" s="62">
        <v>45042</v>
      </c>
      <c r="B194" s="63">
        <v>4055.99</v>
      </c>
      <c r="C194" s="6">
        <v>366.76</v>
      </c>
      <c r="D194" s="6">
        <f>(B193-Table21[[#This Row],[Index Close]])/Table21[[#This Row],[Index Close]]</f>
        <v>1.9566123190639176E-2</v>
      </c>
      <c r="E194" s="6">
        <f>(C193-Table21[[#This Row],[Stock Close]])/Table21[[#This Row],[Stock Close]]</f>
        <v>1.8840658741411345E-2</v>
      </c>
      <c r="F194" s="6"/>
      <c r="G194" s="6"/>
    </row>
    <row r="195" spans="1:7">
      <c r="A195" s="62">
        <v>45041</v>
      </c>
      <c r="B195" s="63">
        <v>4071.63</v>
      </c>
      <c r="C195" s="6">
        <v>368.53</v>
      </c>
      <c r="D195" s="6">
        <f>(B194-Table21[[#This Row],[Index Close]])/Table21[[#This Row],[Index Close]]</f>
        <v>-3.8412134697898203E-3</v>
      </c>
      <c r="E195" s="6">
        <f>(C194-Table21[[#This Row],[Stock Close]])/Table21[[#This Row],[Stock Close]]</f>
        <v>-4.8028654383631781E-3</v>
      </c>
      <c r="F195" s="6"/>
      <c r="G195" s="6"/>
    </row>
    <row r="196" spans="1:7">
      <c r="A196" s="62">
        <v>45040</v>
      </c>
      <c r="B196" s="63">
        <v>4137.04</v>
      </c>
      <c r="C196" s="6">
        <v>374.73</v>
      </c>
      <c r="D196" s="6">
        <f>(B195-Table21[[#This Row],[Index Close]])/Table21[[#This Row],[Index Close]]</f>
        <v>-1.5810821263512041E-2</v>
      </c>
      <c r="E196" s="6">
        <f>(C195-Table21[[#This Row],[Stock Close]])/Table21[[#This Row],[Stock Close]]</f>
        <v>-1.6545245910388934E-2</v>
      </c>
      <c r="F196" s="6"/>
      <c r="G196" s="6"/>
    </row>
    <row r="197" spans="1:7">
      <c r="A197" s="62">
        <v>45037</v>
      </c>
      <c r="B197" s="63">
        <v>4133.5200000000004</v>
      </c>
      <c r="C197" s="6">
        <v>375.24</v>
      </c>
      <c r="D197" s="6">
        <f>(B196-Table21[[#This Row],[Index Close]])/Table21[[#This Row],[Index Close]]</f>
        <v>8.5157444502494887E-4</v>
      </c>
      <c r="E197" s="6">
        <f>(C196-Table21[[#This Row],[Stock Close]])/Table21[[#This Row],[Stock Close]]</f>
        <v>-1.359130156699688E-3</v>
      </c>
      <c r="F197" s="6"/>
      <c r="G197" s="6"/>
    </row>
    <row r="198" spans="1:7">
      <c r="A198" s="62">
        <v>45036</v>
      </c>
      <c r="B198" s="63">
        <v>4129.79</v>
      </c>
      <c r="C198" s="6">
        <v>375</v>
      </c>
      <c r="D198" s="6">
        <f>(B197-Table21[[#This Row],[Index Close]])/Table21[[#This Row],[Index Close]]</f>
        <v>9.031936248575528E-4</v>
      </c>
      <c r="E198" s="6">
        <f>(C197-Table21[[#This Row],[Stock Close]])/Table21[[#This Row],[Stock Close]]</f>
        <v>6.4000000000002423E-4</v>
      </c>
      <c r="F198" s="6"/>
      <c r="G198" s="6"/>
    </row>
    <row r="199" spans="1:7">
      <c r="A199" s="62">
        <v>45035</v>
      </c>
      <c r="B199" s="63">
        <v>4154.5200000000004</v>
      </c>
      <c r="C199" s="6">
        <v>372.8</v>
      </c>
      <c r="D199" s="6">
        <f>(B198-Table21[[#This Row],[Index Close]])/Table21[[#This Row],[Index Close]]</f>
        <v>-5.9525528821621921E-3</v>
      </c>
      <c r="E199" s="6">
        <f>(C198-Table21[[#This Row],[Stock Close]])/Table21[[#This Row],[Stock Close]]</f>
        <v>5.9012875536480379E-3</v>
      </c>
      <c r="F199" s="6"/>
      <c r="G199" s="6"/>
    </row>
    <row r="200" spans="1:7">
      <c r="A200" s="62">
        <v>45034</v>
      </c>
      <c r="B200" s="63">
        <v>4154.87</v>
      </c>
      <c r="C200" s="6">
        <v>372.32</v>
      </c>
      <c r="D200" s="6">
        <f>(B199-Table21[[#This Row],[Index Close]])/Table21[[#This Row],[Index Close]]</f>
        <v>-8.4238496029828691E-5</v>
      </c>
      <c r="E200" s="6">
        <f>(C199-Table21[[#This Row],[Stock Close]])/Table21[[#This Row],[Stock Close]]</f>
        <v>1.289213579716422E-3</v>
      </c>
      <c r="F200" s="6"/>
      <c r="G200" s="6"/>
    </row>
    <row r="201" spans="1:7">
      <c r="A201" s="62">
        <v>45033</v>
      </c>
      <c r="B201" s="63">
        <v>4151.32</v>
      </c>
      <c r="C201" s="6">
        <v>372.76</v>
      </c>
      <c r="D201" s="6">
        <f>(B200-Table21[[#This Row],[Index Close]])/Table21[[#This Row],[Index Close]]</f>
        <v>8.5514968732841167E-4</v>
      </c>
      <c r="E201" s="6">
        <f>(C200-Table21[[#This Row],[Stock Close]])/Table21[[#This Row],[Stock Close]]</f>
        <v>-1.1803841613907012E-3</v>
      </c>
      <c r="F201" s="6"/>
      <c r="G201" s="6"/>
    </row>
    <row r="202" spans="1:7">
      <c r="A202" s="62">
        <v>45030</v>
      </c>
      <c r="B202" s="63">
        <v>4137.6400000000003</v>
      </c>
      <c r="C202" s="6">
        <v>372.43</v>
      </c>
      <c r="D202" s="6">
        <f>(B201-Table21[[#This Row],[Index Close]])/Table21[[#This Row],[Index Close]]</f>
        <v>3.3062325383550477E-3</v>
      </c>
      <c r="E202" s="6">
        <f>(C201-Table21[[#This Row],[Stock Close]])/Table21[[#This Row],[Stock Close]]</f>
        <v>8.860725505463687E-4</v>
      </c>
      <c r="F202" s="6"/>
      <c r="G202" s="6"/>
    </row>
    <row r="203" spans="1:7">
      <c r="A203" s="62">
        <v>45029</v>
      </c>
      <c r="B203" s="63">
        <v>4146.22</v>
      </c>
      <c r="C203" s="6">
        <v>369.65</v>
      </c>
      <c r="D203" s="6">
        <f>(B202-Table21[[#This Row],[Index Close]])/Table21[[#This Row],[Index Close]]</f>
        <v>-2.0693547375681769E-3</v>
      </c>
      <c r="E203" s="6">
        <f>(C202-Table21[[#This Row],[Stock Close]])/Table21[[#This Row],[Stock Close]]</f>
        <v>7.5206276207223852E-3</v>
      </c>
      <c r="F203" s="6"/>
      <c r="G203" s="6"/>
    </row>
    <row r="204" spans="1:7">
      <c r="A204" s="62">
        <v>45028</v>
      </c>
      <c r="B204" s="63">
        <v>4091.95</v>
      </c>
      <c r="C204" s="6">
        <v>361.78</v>
      </c>
      <c r="D204" s="6">
        <f>(B203-Table21[[#This Row],[Index Close]])/Table21[[#This Row],[Index Close]]</f>
        <v>1.3262625398648673E-2</v>
      </c>
      <c r="E204" s="6">
        <f>(C203-Table21[[#This Row],[Stock Close]])/Table21[[#This Row],[Stock Close]]</f>
        <v>2.1753551882359459E-2</v>
      </c>
      <c r="F204" s="6"/>
      <c r="G204" s="6"/>
    </row>
    <row r="205" spans="1:7">
      <c r="A205" s="62">
        <v>45027</v>
      </c>
      <c r="B205" s="63">
        <v>4108.9399999999996</v>
      </c>
      <c r="C205" s="6">
        <v>364.13</v>
      </c>
      <c r="D205" s="6">
        <f>(B204-Table21[[#This Row],[Index Close]])/Table21[[#This Row],[Index Close]]</f>
        <v>-4.1348863697206048E-3</v>
      </c>
      <c r="E205" s="6">
        <f>(C204-Table21[[#This Row],[Stock Close]])/Table21[[#This Row],[Stock Close]]</f>
        <v>-6.4537390492407183E-3</v>
      </c>
      <c r="F205" s="6"/>
      <c r="G205" s="6"/>
    </row>
    <row r="206" spans="1:7">
      <c r="A206" s="62">
        <v>45026</v>
      </c>
      <c r="B206" s="63">
        <v>4109.1099999999997</v>
      </c>
      <c r="C206" s="6">
        <v>360.14</v>
      </c>
      <c r="D206" s="6">
        <f>(B205-Table21[[#This Row],[Index Close]])/Table21[[#This Row],[Index Close]]</f>
        <v>-4.1371489203275837E-5</v>
      </c>
      <c r="E206" s="6">
        <f>(C205-Table21[[#This Row],[Stock Close]])/Table21[[#This Row],[Stock Close]]</f>
        <v>1.1079024823679706E-2</v>
      </c>
      <c r="F206" s="6"/>
      <c r="G206" s="6"/>
    </row>
    <row r="207" spans="1:7">
      <c r="A207" s="62">
        <v>45022</v>
      </c>
      <c r="B207" s="63">
        <v>4105.0200000000004</v>
      </c>
      <c r="C207" s="6">
        <v>361.47</v>
      </c>
      <c r="D207" s="6">
        <f>(B206-Table21[[#This Row],[Index Close]])/Table21[[#This Row],[Index Close]]</f>
        <v>9.963410653295807E-4</v>
      </c>
      <c r="E207" s="6">
        <f>(C206-Table21[[#This Row],[Stock Close]])/Table21[[#This Row],[Stock Close]]</f>
        <v>-3.6794201455170299E-3</v>
      </c>
      <c r="F207" s="6"/>
      <c r="G207" s="6"/>
    </row>
    <row r="208" spans="1:7">
      <c r="A208" s="62">
        <v>45021</v>
      </c>
      <c r="B208" s="63">
        <v>4090.38</v>
      </c>
      <c r="C208" s="6">
        <v>363.79</v>
      </c>
      <c r="D208" s="6">
        <f>(B207-Table21[[#This Row],[Index Close]])/Table21[[#This Row],[Index Close]]</f>
        <v>3.5791295674241336E-3</v>
      </c>
      <c r="E208" s="6">
        <f>(C207-Table21[[#This Row],[Stock Close]])/Table21[[#This Row],[Stock Close]]</f>
        <v>-6.3773055883888869E-3</v>
      </c>
      <c r="F208" s="6"/>
      <c r="G208" s="6"/>
    </row>
    <row r="209" spans="1:7">
      <c r="A209" s="62">
        <v>45020</v>
      </c>
      <c r="B209" s="63">
        <v>4100.6000000000004</v>
      </c>
      <c r="C209" s="6">
        <v>363.9</v>
      </c>
      <c r="D209" s="6">
        <f>(B208-Table21[[#This Row],[Index Close]])/Table21[[#This Row],[Index Close]]</f>
        <v>-2.4923181973370368E-3</v>
      </c>
      <c r="E209" s="6">
        <f>(C208-Table21[[#This Row],[Stock Close]])/Table21[[#This Row],[Stock Close]]</f>
        <v>-3.0228084638625116E-4</v>
      </c>
      <c r="F209" s="6"/>
      <c r="G209" s="6"/>
    </row>
    <row r="210" spans="1:7">
      <c r="A210" s="62">
        <v>45019</v>
      </c>
      <c r="B210" s="63">
        <v>4124.51</v>
      </c>
      <c r="C210" s="6">
        <v>366.47</v>
      </c>
      <c r="D210" s="6">
        <f>(B209-Table21[[#This Row],[Index Close]])/Table21[[#This Row],[Index Close]]</f>
        <v>-5.7970522559043025E-3</v>
      </c>
      <c r="E210" s="6">
        <f>(C209-Table21[[#This Row],[Stock Close]])/Table21[[#This Row],[Stock Close]]</f>
        <v>-7.0128523480777411E-3</v>
      </c>
      <c r="F210" s="6"/>
      <c r="G210" s="6"/>
    </row>
    <row r="211" spans="1:7">
      <c r="A211" s="62">
        <v>45016</v>
      </c>
      <c r="B211" s="63">
        <v>4109.3100000000004</v>
      </c>
      <c r="C211" s="6">
        <v>363.41</v>
      </c>
      <c r="D211" s="6">
        <f>(B210-Table21[[#This Row],[Index Close]])/Table21[[#This Row],[Index Close]]</f>
        <v>3.6989178231868164E-3</v>
      </c>
      <c r="E211" s="6">
        <f>(C210-Table21[[#This Row],[Stock Close]])/Table21[[#This Row],[Stock Close]]</f>
        <v>8.420241600396252E-3</v>
      </c>
      <c r="F211" s="6"/>
      <c r="G211" s="6"/>
    </row>
    <row r="212" spans="1:7">
      <c r="A212" s="62">
        <v>45015</v>
      </c>
      <c r="B212" s="63">
        <v>4050.83</v>
      </c>
      <c r="C212" s="6">
        <v>359.26</v>
      </c>
      <c r="D212" s="6">
        <f>(B211-Table21[[#This Row],[Index Close]])/Table21[[#This Row],[Index Close]]</f>
        <v>1.4436547571732329E-2</v>
      </c>
      <c r="E212" s="6">
        <f>(C211-Table21[[#This Row],[Stock Close]])/Table21[[#This Row],[Stock Close]]</f>
        <v>1.1551522574180354E-2</v>
      </c>
      <c r="F212" s="6"/>
      <c r="G212" s="6"/>
    </row>
    <row r="213" spans="1:7">
      <c r="A213" s="62">
        <v>45014</v>
      </c>
      <c r="B213" s="63">
        <v>4027.81</v>
      </c>
      <c r="C213" s="6">
        <v>359.53</v>
      </c>
      <c r="D213" s="6">
        <f>(B212-Table21[[#This Row],[Index Close]])/Table21[[#This Row],[Index Close]]</f>
        <v>5.7152646227106004E-3</v>
      </c>
      <c r="E213" s="6">
        <f>(C212-Table21[[#This Row],[Stock Close]])/Table21[[#This Row],[Stock Close]]</f>
        <v>-7.5098044669424479E-4</v>
      </c>
      <c r="F213" s="6"/>
      <c r="G213" s="6"/>
    </row>
    <row r="214" spans="1:7">
      <c r="A214" s="62">
        <v>45013</v>
      </c>
      <c r="B214" s="63">
        <v>3971.27</v>
      </c>
      <c r="C214" s="6">
        <v>354.33</v>
      </c>
      <c r="D214" s="6">
        <f>(B213-Table21[[#This Row],[Index Close]])/Table21[[#This Row],[Index Close]]</f>
        <v>1.4237259113583303E-2</v>
      </c>
      <c r="E214" s="6">
        <f>(C213-Table21[[#This Row],[Stock Close]])/Table21[[#This Row],[Stock Close]]</f>
        <v>1.4675584906725337E-2</v>
      </c>
      <c r="F214" s="6"/>
      <c r="G214" s="6"/>
    </row>
    <row r="215" spans="1:7">
      <c r="A215" s="62">
        <v>45012</v>
      </c>
      <c r="B215" s="63">
        <v>3977.53</v>
      </c>
      <c r="C215" s="6">
        <v>354.62</v>
      </c>
      <c r="D215" s="6">
        <f>(B214-Table21[[#This Row],[Index Close]])/Table21[[#This Row],[Index Close]]</f>
        <v>-1.5738410521102841E-3</v>
      </c>
      <c r="E215" s="6">
        <f>(C214-Table21[[#This Row],[Stock Close]])/Table21[[#This Row],[Stock Close]]</f>
        <v>-8.1777677513964375E-4</v>
      </c>
      <c r="F215" s="6"/>
      <c r="G215" s="6"/>
    </row>
    <row r="216" spans="1:7">
      <c r="A216" s="62">
        <v>45009</v>
      </c>
      <c r="B216" s="63">
        <v>3970.99</v>
      </c>
      <c r="C216" s="6">
        <v>351.63</v>
      </c>
      <c r="D216" s="6">
        <f>(B215-Table21[[#This Row],[Index Close]])/Table21[[#This Row],[Index Close]]</f>
        <v>1.6469444647305631E-3</v>
      </c>
      <c r="E216" s="6">
        <f>(C215-Table21[[#This Row],[Stock Close]])/Table21[[#This Row],[Stock Close]]</f>
        <v>8.5032562636862871E-3</v>
      </c>
      <c r="F216" s="6"/>
      <c r="G216" s="6"/>
    </row>
    <row r="217" spans="1:7">
      <c r="A217" s="62">
        <v>45008</v>
      </c>
      <c r="B217" s="63">
        <v>3948.72</v>
      </c>
      <c r="C217" s="6">
        <v>354.37</v>
      </c>
      <c r="D217" s="6">
        <f>(B216-Table21[[#This Row],[Index Close]])/Table21[[#This Row],[Index Close]]</f>
        <v>5.6398022650377801E-3</v>
      </c>
      <c r="E217" s="6">
        <f>(C216-Table21[[#This Row],[Stock Close]])/Table21[[#This Row],[Stock Close]]</f>
        <v>-7.732031492507856E-3</v>
      </c>
      <c r="F217" s="6"/>
      <c r="G217" s="6"/>
    </row>
    <row r="218" spans="1:7">
      <c r="A218" s="62">
        <v>45007</v>
      </c>
      <c r="B218" s="63">
        <v>3936.97</v>
      </c>
      <c r="C218" s="6">
        <v>351.03</v>
      </c>
      <c r="D218" s="6">
        <f>(B217-Table21[[#This Row],[Index Close]])/Table21[[#This Row],[Index Close]]</f>
        <v>2.9845287111662016E-3</v>
      </c>
      <c r="E218" s="6">
        <f>(C217-Table21[[#This Row],[Stock Close]])/Table21[[#This Row],[Stock Close]]</f>
        <v>9.5148562800901129E-3</v>
      </c>
      <c r="F218" s="6"/>
      <c r="G218" s="6"/>
    </row>
    <row r="219" spans="1:7">
      <c r="A219" s="62">
        <v>45006</v>
      </c>
      <c r="B219" s="63">
        <v>4002.87</v>
      </c>
      <c r="C219" s="6">
        <v>354.57</v>
      </c>
      <c r="D219" s="6">
        <f>(B218-Table21[[#This Row],[Index Close]])/Table21[[#This Row],[Index Close]]</f>
        <v>-1.6463187662851927E-2</v>
      </c>
      <c r="E219" s="6">
        <f>(C218-Table21[[#This Row],[Stock Close]])/Table21[[#This Row],[Stock Close]]</f>
        <v>-9.9839241898638364E-3</v>
      </c>
      <c r="F219" s="6"/>
      <c r="G219" s="6"/>
    </row>
    <row r="220" spans="1:7">
      <c r="A220" s="62">
        <v>45005</v>
      </c>
      <c r="B220" s="63">
        <v>3951.57</v>
      </c>
      <c r="C220" s="6">
        <v>349.32</v>
      </c>
      <c r="D220" s="6">
        <f>(B219-Table21[[#This Row],[Index Close]])/Table21[[#This Row],[Index Close]]</f>
        <v>1.2982181765728488E-2</v>
      </c>
      <c r="E220" s="6">
        <f>(C219-Table21[[#This Row],[Stock Close]])/Table21[[#This Row],[Stock Close]]</f>
        <v>1.5029199587770527E-2</v>
      </c>
      <c r="F220" s="6"/>
      <c r="G220" s="6"/>
    </row>
    <row r="221" spans="1:7">
      <c r="A221" s="62">
        <v>45002</v>
      </c>
      <c r="B221" s="63">
        <v>3916.64</v>
      </c>
      <c r="C221" s="6">
        <v>349.66</v>
      </c>
      <c r="D221" s="6">
        <f>(B220-Table21[[#This Row],[Index Close]])/Table21[[#This Row],[Index Close]]</f>
        <v>8.9183585930798573E-3</v>
      </c>
      <c r="E221" s="6">
        <f>(C220-Table21[[#This Row],[Stock Close]])/Table21[[#This Row],[Stock Close]]</f>
        <v>-9.723731625008059E-4</v>
      </c>
      <c r="F221" s="6"/>
      <c r="G221" s="6"/>
    </row>
    <row r="222" spans="1:7">
      <c r="A222" s="62">
        <v>45001</v>
      </c>
      <c r="B222" s="63">
        <v>3960.28</v>
      </c>
      <c r="C222" s="6">
        <v>348</v>
      </c>
      <c r="D222" s="6">
        <f>(B221-Table21[[#This Row],[Index Close]])/Table21[[#This Row],[Index Close]]</f>
        <v>-1.1019422869090146E-2</v>
      </c>
      <c r="E222" s="6">
        <f>(C221-Table21[[#This Row],[Stock Close]])/Table21[[#This Row],[Stock Close]]</f>
        <v>4.7701149425288074E-3</v>
      </c>
      <c r="F222" s="6"/>
      <c r="G222" s="6"/>
    </row>
    <row r="223" spans="1:7">
      <c r="A223" s="62">
        <v>45000</v>
      </c>
      <c r="B223" s="63">
        <v>3891.93</v>
      </c>
      <c r="C223" s="6">
        <v>348.08</v>
      </c>
      <c r="D223" s="6">
        <f>(B222-Table21[[#This Row],[Index Close]])/Table21[[#This Row],[Index Close]]</f>
        <v>1.7561980816715707E-2</v>
      </c>
      <c r="E223" s="6">
        <f>(C222-Table21[[#This Row],[Stock Close]])/Table21[[#This Row],[Stock Close]]</f>
        <v>-2.2983222247754565E-4</v>
      </c>
      <c r="F223" s="6"/>
      <c r="G223" s="6"/>
    </row>
    <row r="224" spans="1:7">
      <c r="A224" s="62">
        <v>44999</v>
      </c>
      <c r="B224" s="63">
        <v>3919.29</v>
      </c>
      <c r="C224" s="6">
        <v>352.82</v>
      </c>
      <c r="D224" s="6">
        <f>(B223-Table21[[#This Row],[Index Close]])/Table21[[#This Row],[Index Close]]</f>
        <v>-6.9808562265104464E-3</v>
      </c>
      <c r="E224" s="6">
        <f>(C223-Table21[[#This Row],[Stock Close]])/Table21[[#This Row],[Stock Close]]</f>
        <v>-1.3434612550308965E-2</v>
      </c>
      <c r="F224" s="6"/>
      <c r="G224" s="6"/>
    </row>
    <row r="225" spans="1:7">
      <c r="A225" s="62">
        <v>44998</v>
      </c>
      <c r="B225" s="63">
        <v>3855.76</v>
      </c>
      <c r="C225" s="6">
        <v>344.71</v>
      </c>
      <c r="D225" s="6">
        <f>(B224-Table21[[#This Row],[Index Close]])/Table21[[#This Row],[Index Close]]</f>
        <v>1.6476647924144588E-2</v>
      </c>
      <c r="E225" s="6">
        <f>(C224-Table21[[#This Row],[Stock Close]])/Table21[[#This Row],[Stock Close]]</f>
        <v>2.3527022714745768E-2</v>
      </c>
      <c r="F225" s="6"/>
      <c r="G225" s="6"/>
    </row>
    <row r="226" spans="1:7">
      <c r="A226" s="62">
        <v>44995</v>
      </c>
      <c r="B226" s="63">
        <v>3861.59</v>
      </c>
      <c r="C226" s="6">
        <v>347.11</v>
      </c>
      <c r="D226" s="6">
        <f>(B225-Table21[[#This Row],[Index Close]])/Table21[[#This Row],[Index Close]]</f>
        <v>-1.5097408062481846E-3</v>
      </c>
      <c r="E226" s="6">
        <f>(C225-Table21[[#This Row],[Stock Close]])/Table21[[#This Row],[Stock Close]]</f>
        <v>-6.9142346806488836E-3</v>
      </c>
      <c r="F226" s="6"/>
      <c r="G226" s="6"/>
    </row>
    <row r="227" spans="1:7">
      <c r="A227" s="62">
        <v>44994</v>
      </c>
      <c r="B227" s="63">
        <v>3918.32</v>
      </c>
      <c r="C227" s="6">
        <v>354.44</v>
      </c>
      <c r="D227" s="6">
        <f>(B226-Table21[[#This Row],[Index Close]])/Table21[[#This Row],[Index Close]]</f>
        <v>-1.447814369423631E-2</v>
      </c>
      <c r="E227" s="6">
        <f>(C226-Table21[[#This Row],[Stock Close]])/Table21[[#This Row],[Stock Close]]</f>
        <v>-2.0680510100440086E-2</v>
      </c>
      <c r="F227" s="6"/>
      <c r="G227" s="6"/>
    </row>
    <row r="228" spans="1:7">
      <c r="A228" s="62">
        <v>44993</v>
      </c>
      <c r="B228" s="63">
        <v>3992.01</v>
      </c>
      <c r="C228" s="6">
        <v>359.03</v>
      </c>
      <c r="D228" s="6">
        <f>(B227-Table21[[#This Row],[Index Close]])/Table21[[#This Row],[Index Close]]</f>
        <v>-1.8459372596762044E-2</v>
      </c>
      <c r="E228" s="6">
        <f>(C227-Table21[[#This Row],[Stock Close]])/Table21[[#This Row],[Stock Close]]</f>
        <v>-1.278444698214627E-2</v>
      </c>
      <c r="F228" s="6"/>
      <c r="G228" s="6"/>
    </row>
    <row r="229" spans="1:7">
      <c r="A229" s="62">
        <v>44992</v>
      </c>
      <c r="B229" s="63">
        <v>3986.37</v>
      </c>
      <c r="C229" s="6">
        <v>359.94</v>
      </c>
      <c r="D229" s="6">
        <f>(B228-Table21[[#This Row],[Index Close]])/Table21[[#This Row],[Index Close]]</f>
        <v>1.4148210025663266E-3</v>
      </c>
      <c r="E229" s="6">
        <f>(C228-Table21[[#This Row],[Stock Close]])/Table21[[#This Row],[Stock Close]]</f>
        <v>-2.5281991443018978E-3</v>
      </c>
      <c r="F229" s="6"/>
      <c r="G229" s="6"/>
    </row>
    <row r="230" spans="1:7">
      <c r="A230" s="62">
        <v>44991</v>
      </c>
      <c r="B230" s="63">
        <v>4048.42</v>
      </c>
      <c r="C230" s="6">
        <v>366.93</v>
      </c>
      <c r="D230" s="6">
        <f>(B229-Table21[[#This Row],[Index Close]])/Table21[[#This Row],[Index Close]]</f>
        <v>-1.532696706369403E-2</v>
      </c>
      <c r="E230" s="6">
        <f>(C229-Table21[[#This Row],[Stock Close]])/Table21[[#This Row],[Stock Close]]</f>
        <v>-1.9049955032295014E-2</v>
      </c>
      <c r="F230" s="6"/>
      <c r="G230" s="6"/>
    </row>
    <row r="231" spans="1:7">
      <c r="A231" s="62">
        <v>44988</v>
      </c>
      <c r="B231" s="63">
        <v>4045.64</v>
      </c>
      <c r="C231" s="6">
        <v>361.5</v>
      </c>
      <c r="D231" s="6">
        <f>(B230-Table21[[#This Row],[Index Close]])/Table21[[#This Row],[Index Close]]</f>
        <v>6.8715950999105211E-4</v>
      </c>
      <c r="E231" s="6">
        <f>(C230-Table21[[#This Row],[Stock Close]])/Table21[[#This Row],[Stock Close]]</f>
        <v>1.5020746887966823E-2</v>
      </c>
      <c r="F231" s="6"/>
      <c r="G231" s="6"/>
    </row>
    <row r="232" spans="1:7">
      <c r="A232" s="62">
        <v>44987</v>
      </c>
      <c r="B232" s="63">
        <v>3981.35</v>
      </c>
      <c r="C232" s="6">
        <v>355.57</v>
      </c>
      <c r="D232" s="6">
        <f>(B231-Table21[[#This Row],[Index Close]])/Table21[[#This Row],[Index Close]]</f>
        <v>1.6147789066522655E-2</v>
      </c>
      <c r="E232" s="6">
        <f>(C231-Table21[[#This Row],[Stock Close]])/Table21[[#This Row],[Stock Close]]</f>
        <v>1.6677447478696199E-2</v>
      </c>
      <c r="F232" s="6"/>
      <c r="G232" s="6"/>
    </row>
    <row r="233" spans="1:7">
      <c r="A233" s="62">
        <v>44986</v>
      </c>
      <c r="B233" s="63">
        <v>3951.39</v>
      </c>
      <c r="C233" s="6">
        <v>353.5</v>
      </c>
      <c r="D233" s="6">
        <f>(B232-Table21[[#This Row],[Index Close]])/Table21[[#This Row],[Index Close]]</f>
        <v>7.5821419804170277E-3</v>
      </c>
      <c r="E233" s="6">
        <f>(C232-Table21[[#This Row],[Stock Close]])/Table21[[#This Row],[Stock Close]]</f>
        <v>5.8557284299858361E-3</v>
      </c>
      <c r="F233" s="6"/>
      <c r="G233" s="6"/>
    </row>
    <row r="234" spans="1:7">
      <c r="A234" s="62">
        <v>44985</v>
      </c>
      <c r="B234" s="63">
        <v>3970.15</v>
      </c>
      <c r="C234" s="6">
        <v>355.29</v>
      </c>
      <c r="D234" s="6">
        <f>(B233-Table21[[#This Row],[Index Close]])/Table21[[#This Row],[Index Close]]</f>
        <v>-4.7252622696875978E-3</v>
      </c>
      <c r="E234" s="6">
        <f>(C233-Table21[[#This Row],[Stock Close]])/Table21[[#This Row],[Stock Close]]</f>
        <v>-5.0381378592136575E-3</v>
      </c>
      <c r="F234" s="6"/>
      <c r="G234" s="6"/>
    </row>
    <row r="235" spans="1:7">
      <c r="A235" s="62">
        <v>44984</v>
      </c>
      <c r="B235" s="63">
        <v>3982.24</v>
      </c>
      <c r="C235" s="6">
        <v>355.48</v>
      </c>
      <c r="D235" s="6">
        <f>(B234-Table21[[#This Row],[Index Close]])/Table21[[#This Row],[Index Close]]</f>
        <v>-3.0359797500903239E-3</v>
      </c>
      <c r="E235" s="6">
        <f>(C234-Table21[[#This Row],[Stock Close]])/Table21[[#This Row],[Stock Close]]</f>
        <v>-5.3448857882299351E-4</v>
      </c>
      <c r="F235" s="6"/>
      <c r="G235" s="6"/>
    </row>
    <row r="236" spans="1:7">
      <c r="A236" s="62">
        <v>44981</v>
      </c>
      <c r="B236" s="63">
        <v>3970.04</v>
      </c>
      <c r="C236" s="6">
        <v>353.12</v>
      </c>
      <c r="D236" s="6">
        <f>(B235-Table21[[#This Row],[Index Close]])/Table21[[#This Row],[Index Close]]</f>
        <v>3.0730168965551526E-3</v>
      </c>
      <c r="E236" s="6">
        <f>(C235-Table21[[#This Row],[Stock Close]])/Table21[[#This Row],[Stock Close]]</f>
        <v>6.6832804712279497E-3</v>
      </c>
      <c r="F236" s="6"/>
      <c r="G236" s="6"/>
    </row>
    <row r="237" spans="1:7">
      <c r="A237" s="62">
        <v>44980</v>
      </c>
      <c r="B237" s="63">
        <v>4012.32</v>
      </c>
      <c r="C237" s="6">
        <v>355.53</v>
      </c>
      <c r="D237" s="6">
        <f>(B236-Table21[[#This Row],[Index Close]])/Table21[[#This Row],[Index Close]]</f>
        <v>-1.0537544363360898E-2</v>
      </c>
      <c r="E237" s="6">
        <f>(C236-Table21[[#This Row],[Stock Close]])/Table21[[#This Row],[Stock Close]]</f>
        <v>-6.7786122127527024E-3</v>
      </c>
      <c r="F237" s="6"/>
      <c r="G237" s="6"/>
    </row>
    <row r="238" spans="1:7">
      <c r="A238" s="62">
        <v>44979</v>
      </c>
      <c r="B238" s="63">
        <v>3991.05</v>
      </c>
      <c r="C238" s="6">
        <v>354.97</v>
      </c>
      <c r="D238" s="6">
        <f>(B237-Table21[[#This Row],[Index Close]])/Table21[[#This Row],[Index Close]]</f>
        <v>5.3294245875145588E-3</v>
      </c>
      <c r="E238" s="6">
        <f>(C237-Table21[[#This Row],[Stock Close]])/Table21[[#This Row],[Stock Close]]</f>
        <v>1.5775981068821179E-3</v>
      </c>
      <c r="F238" s="6"/>
      <c r="G238" s="6"/>
    </row>
    <row r="239" spans="1:7">
      <c r="A239" s="62">
        <v>44978</v>
      </c>
      <c r="B239" s="63">
        <v>3997.34</v>
      </c>
      <c r="C239" s="6">
        <v>355.96</v>
      </c>
      <c r="D239" s="6">
        <f>(B238-Table21[[#This Row],[Index Close]])/Table21[[#This Row],[Index Close]]</f>
        <v>-1.5735464083615513E-3</v>
      </c>
      <c r="E239" s="6">
        <f>(C238-Table21[[#This Row],[Stock Close]])/Table21[[#This Row],[Stock Close]]</f>
        <v>-2.781211372064143E-3</v>
      </c>
      <c r="F239" s="6"/>
      <c r="G239" s="6"/>
    </row>
    <row r="240" spans="1:7">
      <c r="A240" s="62">
        <v>44974</v>
      </c>
      <c r="B240" s="63">
        <v>4079.09</v>
      </c>
      <c r="C240" s="6">
        <v>361.13</v>
      </c>
      <c r="D240" s="6">
        <f>(B239-Table21[[#This Row],[Index Close]])/Table21[[#This Row],[Index Close]]</f>
        <v>-2.0041234687148357E-2</v>
      </c>
      <c r="E240" s="6">
        <f>(C239-Table21[[#This Row],[Stock Close]])/Table21[[#This Row],[Stock Close]]</f>
        <v>-1.4316174230886429E-2</v>
      </c>
      <c r="F240" s="6"/>
      <c r="G240" s="6"/>
    </row>
    <row r="241" spans="1:7">
      <c r="A241" s="62">
        <v>44973</v>
      </c>
      <c r="B241" s="63">
        <v>4090.41</v>
      </c>
      <c r="C241" s="6">
        <v>367.55</v>
      </c>
      <c r="D241" s="6">
        <f>(B240-Table21[[#This Row],[Index Close]])/Table21[[#This Row],[Index Close]]</f>
        <v>-2.7674487398573026E-3</v>
      </c>
      <c r="E241" s="6">
        <f>(C240-Table21[[#This Row],[Stock Close]])/Table21[[#This Row],[Stock Close]]</f>
        <v>-1.7467011290980862E-2</v>
      </c>
      <c r="F241" s="6"/>
      <c r="G241" s="6"/>
    </row>
    <row r="242" spans="1:7">
      <c r="A242" s="62">
        <v>44972</v>
      </c>
      <c r="B242" s="63">
        <v>4147.6000000000004</v>
      </c>
      <c r="C242" s="6">
        <v>369.64</v>
      </c>
      <c r="D242" s="6">
        <f>(B241-Table21[[#This Row],[Index Close]])/Table21[[#This Row],[Index Close]]</f>
        <v>-1.3788697077828264E-2</v>
      </c>
      <c r="E242" s="6">
        <f>(C241-Table21[[#This Row],[Stock Close]])/Table21[[#This Row],[Stock Close]]</f>
        <v>-5.6541499837679228E-3</v>
      </c>
      <c r="F242" s="6"/>
      <c r="G242" s="6"/>
    </row>
    <row r="243" spans="1:7">
      <c r="A243" s="62">
        <v>44971</v>
      </c>
      <c r="B243" s="63">
        <v>4136.13</v>
      </c>
      <c r="C243" s="6">
        <v>369.96</v>
      </c>
      <c r="D243" s="6">
        <f>(B242-Table21[[#This Row],[Index Close]])/Table21[[#This Row],[Index Close]]</f>
        <v>2.7731236687435486E-3</v>
      </c>
      <c r="E243" s="6">
        <f>(C242-Table21[[#This Row],[Stock Close]])/Table21[[#This Row],[Stock Close]]</f>
        <v>-8.6495837387823868E-4</v>
      </c>
      <c r="F243" s="6"/>
      <c r="G243" s="6"/>
    </row>
    <row r="244" spans="1:7">
      <c r="A244" s="62">
        <v>44970</v>
      </c>
      <c r="B244" s="63">
        <v>4137.29</v>
      </c>
      <c r="C244" s="6">
        <v>370.83</v>
      </c>
      <c r="D244" s="6">
        <f>(B243-Table21[[#This Row],[Index Close]])/Table21[[#This Row],[Index Close]]</f>
        <v>-2.8037676836766446E-4</v>
      </c>
      <c r="E244" s="6">
        <f>(C243-Table21[[#This Row],[Stock Close]])/Table21[[#This Row],[Stock Close]]</f>
        <v>-2.346088504166342E-3</v>
      </c>
      <c r="F244" s="6"/>
      <c r="G244" s="6"/>
    </row>
    <row r="245" spans="1:7">
      <c r="A245" s="62">
        <v>44967</v>
      </c>
      <c r="B245" s="63">
        <v>4090.46</v>
      </c>
      <c r="C245" s="6">
        <v>366.83</v>
      </c>
      <c r="D245" s="6">
        <f>(B244-Table21[[#This Row],[Index Close]])/Table21[[#This Row],[Index Close]]</f>
        <v>1.1448590134116927E-2</v>
      </c>
      <c r="E245" s="6">
        <f>(C244-Table21[[#This Row],[Stock Close]])/Table21[[#This Row],[Stock Close]]</f>
        <v>1.0904233568683041E-2</v>
      </c>
      <c r="F245" s="6"/>
      <c r="G245" s="6"/>
    </row>
    <row r="246" spans="1:7">
      <c r="A246" s="62">
        <v>44966</v>
      </c>
      <c r="B246" s="63">
        <v>4081.5</v>
      </c>
      <c r="C246" s="6">
        <v>370.42</v>
      </c>
      <c r="D246" s="6">
        <f>(B245-Table21[[#This Row],[Index Close]])/Table21[[#This Row],[Index Close]]</f>
        <v>2.1952713463187644E-3</v>
      </c>
      <c r="E246" s="6">
        <f>(C245-Table21[[#This Row],[Stock Close]])/Table21[[#This Row],[Stock Close]]</f>
        <v>-9.691701312024275E-3</v>
      </c>
      <c r="F246" s="6"/>
      <c r="G246" s="6"/>
    </row>
    <row r="247" spans="1:7">
      <c r="A247" s="62">
        <v>44965</v>
      </c>
      <c r="B247" s="63">
        <v>4117.8599999999997</v>
      </c>
      <c r="C247" s="6">
        <v>370.35</v>
      </c>
      <c r="D247" s="6">
        <f>(B246-Table21[[#This Row],[Index Close]])/Table21[[#This Row],[Index Close]]</f>
        <v>-8.8298290859814745E-3</v>
      </c>
      <c r="E247" s="6">
        <f>(C246-Table21[[#This Row],[Stock Close]])/Table21[[#This Row],[Stock Close]]</f>
        <v>1.8901039557173803E-4</v>
      </c>
      <c r="F247" s="6"/>
      <c r="G247" s="6"/>
    </row>
    <row r="248" spans="1:7">
      <c r="A248" s="62">
        <v>44964</v>
      </c>
      <c r="B248" s="63">
        <v>4164</v>
      </c>
      <c r="C248" s="6">
        <v>375.06</v>
      </c>
      <c r="D248" s="6">
        <f>(B247-Table21[[#This Row],[Index Close]])/Table21[[#This Row],[Index Close]]</f>
        <v>-1.1080691642651375E-2</v>
      </c>
      <c r="E248" s="6">
        <f>(C247-Table21[[#This Row],[Stock Close]])/Table21[[#This Row],[Stock Close]]</f>
        <v>-1.2557990721484507E-2</v>
      </c>
      <c r="F248" s="6"/>
      <c r="G248" s="6"/>
    </row>
    <row r="249" spans="1:7">
      <c r="A249" s="62">
        <v>44963</v>
      </c>
      <c r="B249" s="63">
        <v>4111.08</v>
      </c>
      <c r="C249" s="6">
        <v>372.97</v>
      </c>
      <c r="D249" s="6">
        <f>(B248-Table21[[#This Row],[Index Close]])/Table21[[#This Row],[Index Close]]</f>
        <v>1.2872529846171828E-2</v>
      </c>
      <c r="E249" s="6">
        <f>(C248-Table21[[#This Row],[Stock Close]])/Table21[[#This Row],[Stock Close]]</f>
        <v>5.6036678553234168E-3</v>
      </c>
      <c r="F249" s="6"/>
      <c r="G249" s="6"/>
    </row>
    <row r="250" spans="1:7">
      <c r="A250" s="62">
        <v>44960</v>
      </c>
      <c r="B250" s="63">
        <v>4136.4799999999996</v>
      </c>
      <c r="C250" s="6">
        <v>373.91</v>
      </c>
      <c r="D250" s="6">
        <f>(B249-Table21[[#This Row],[Index Close]])/Table21[[#This Row],[Index Close]]</f>
        <v>-6.1404865973000329E-3</v>
      </c>
      <c r="E250" s="6">
        <f>(C249-Table21[[#This Row],[Stock Close]])/Table21[[#This Row],[Stock Close]]</f>
        <v>-2.5139739509507575E-3</v>
      </c>
      <c r="F250" s="6"/>
      <c r="G250" s="6"/>
    </row>
    <row r="251" spans="1:7">
      <c r="A251" s="62">
        <v>44959</v>
      </c>
      <c r="B251" s="63">
        <v>4179.76</v>
      </c>
      <c r="C251" s="6">
        <v>374.94</v>
      </c>
      <c r="D251" s="6">
        <f>(B250-Table21[[#This Row],[Index Close]])/Table21[[#This Row],[Index Close]]</f>
        <v>-1.0354661511665898E-2</v>
      </c>
      <c r="E251" s="6">
        <f>(C250-Table21[[#This Row],[Stock Close]])/Table21[[#This Row],[Stock Close]]</f>
        <v>-2.7471062036591794E-3</v>
      </c>
      <c r="F251" s="6"/>
      <c r="G251" s="6"/>
    </row>
    <row r="252" spans="1:7">
      <c r="A252" s="62">
        <v>44958</v>
      </c>
      <c r="B252" s="63">
        <v>4119.21</v>
      </c>
      <c r="C252" s="6">
        <v>374.08</v>
      </c>
      <c r="D252" s="6">
        <f>(B251-Table21[[#This Row],[Index Close]])/Table21[[#This Row],[Index Close]]</f>
        <v>1.4699420519954112E-2</v>
      </c>
      <c r="E252" s="6">
        <f>(C251-Table21[[#This Row],[Stock Close]])/Table21[[#This Row],[Stock Close]]</f>
        <v>2.2989734816082487E-3</v>
      </c>
      <c r="F252" s="6"/>
      <c r="G252" s="6"/>
    </row>
    <row r="253" spans="1:7">
      <c r="A253" s="62">
        <v>44957</v>
      </c>
      <c r="B253" s="63">
        <v>4076.6</v>
      </c>
      <c r="C253" s="6">
        <v>370.6</v>
      </c>
      <c r="D253" s="6">
        <f>(B252-Table21[[#This Row],[Index Close]])/Table21[[#This Row],[Index Close]]</f>
        <v>1.045233773242411E-2</v>
      </c>
      <c r="E253" s="6">
        <f>(C252-Table21[[#This Row],[Stock Close]])/Table21[[#This Row],[Stock Close]]</f>
        <v>9.3901780895843528E-3</v>
      </c>
      <c r="F253" s="6"/>
      <c r="G253" s="6"/>
    </row>
    <row r="254" spans="1:7">
      <c r="A254" s="62">
        <v>44956</v>
      </c>
      <c r="B254" s="63">
        <v>4017.77</v>
      </c>
      <c r="C254" s="6">
        <v>371.12</v>
      </c>
      <c r="D254" s="6">
        <f>(B253-Table21[[#This Row],[Index Close]])/Table21[[#This Row],[Index Close]]</f>
        <v>1.4642450911824203E-2</v>
      </c>
      <c r="E254" s="6">
        <f>(C253-Table21[[#This Row],[Stock Close]])/Table21[[#This Row],[Stock Close]]</f>
        <v>-1.4011640439749455E-3</v>
      </c>
      <c r="F254" s="6"/>
      <c r="G254" s="6"/>
    </row>
    <row r="255" spans="1:7">
      <c r="A255" s="62">
        <v>44953</v>
      </c>
      <c r="B255" s="63">
        <v>4070.56</v>
      </c>
      <c r="C255" s="6">
        <v>374.03</v>
      </c>
      <c r="D255" s="6">
        <f>(B254-Table21[[#This Row],[Index Close]])/Table21[[#This Row],[Index Close]]</f>
        <v>-1.2968731575016696E-2</v>
      </c>
      <c r="E255" s="6">
        <f>(C254-Table21[[#This Row],[Stock Close]])/Table21[[#This Row],[Stock Close]]</f>
        <v>-7.7801245889366315E-3</v>
      </c>
      <c r="F255" s="6"/>
      <c r="G255" s="6"/>
    </row>
    <row r="256" spans="1:7">
      <c r="A256" s="62">
        <v>44952</v>
      </c>
      <c r="B256" s="63">
        <v>4060.43</v>
      </c>
      <c r="C256" s="6">
        <v>377.24</v>
      </c>
      <c r="D256" s="6">
        <f>(B255-Table21[[#This Row],[Index Close]])/Table21[[#This Row],[Index Close]]</f>
        <v>2.4948096630160129E-3</v>
      </c>
      <c r="E256" s="6">
        <f>(C255-Table21[[#This Row],[Stock Close]])/Table21[[#This Row],[Stock Close]]</f>
        <v>-8.5091718799704067E-3</v>
      </c>
      <c r="F256" s="6"/>
      <c r="G256" s="6"/>
    </row>
    <row r="257" spans="1:7">
      <c r="A257" s="62">
        <v>44951</v>
      </c>
      <c r="B257" s="63">
        <v>4016.22</v>
      </c>
      <c r="C257" s="6">
        <v>382.39</v>
      </c>
      <c r="D257" s="6">
        <f>(B256-Table21[[#This Row],[Index Close]])/Table21[[#This Row],[Index Close]]</f>
        <v>1.1007863115068408E-2</v>
      </c>
      <c r="E257" s="6">
        <f>(C256-Table21[[#This Row],[Stock Close]])/Table21[[#This Row],[Stock Close]]</f>
        <v>-1.3467925416459577E-2</v>
      </c>
      <c r="F257" s="6"/>
      <c r="G257" s="6"/>
    </row>
    <row r="258" spans="1:7">
      <c r="A258" s="62">
        <v>44950</v>
      </c>
      <c r="B258" s="63">
        <v>4016.95</v>
      </c>
      <c r="C258" s="6">
        <v>380.01</v>
      </c>
      <c r="D258" s="6">
        <f>(B257-Table21[[#This Row],[Index Close]])/Table21[[#This Row],[Index Close]]</f>
        <v>-1.8172991946626625E-4</v>
      </c>
      <c r="E258" s="6">
        <f>(C257-Table21[[#This Row],[Stock Close]])/Table21[[#This Row],[Stock Close]]</f>
        <v>6.2629930791294848E-3</v>
      </c>
      <c r="F258" s="6"/>
      <c r="G258" s="6"/>
    </row>
    <row r="259" spans="1:7">
      <c r="A259" s="62">
        <v>44949</v>
      </c>
      <c r="B259" s="63">
        <v>4019.81</v>
      </c>
      <c r="C259" s="6">
        <v>378.57</v>
      </c>
      <c r="D259" s="6">
        <f>(B258-Table21[[#This Row],[Index Close]])/Table21[[#This Row],[Index Close]]</f>
        <v>-7.1147641306433074E-4</v>
      </c>
      <c r="E259" s="6">
        <f>(C258-Table21[[#This Row],[Stock Close]])/Table21[[#This Row],[Stock Close]]</f>
        <v>3.8037879388224047E-3</v>
      </c>
      <c r="F259" s="6"/>
      <c r="G259" s="6"/>
    </row>
    <row r="260" spans="1:7">
      <c r="A260" s="62">
        <v>44946</v>
      </c>
      <c r="B260" s="63">
        <v>3972.61</v>
      </c>
      <c r="C260" s="6">
        <v>376.28</v>
      </c>
      <c r="D260" s="6">
        <f>(B259-Table21[[#This Row],[Index Close]])/Table21[[#This Row],[Index Close]]</f>
        <v>1.188135759613952E-2</v>
      </c>
      <c r="E260" s="6">
        <f>(C259-Table21[[#This Row],[Stock Close]])/Table21[[#This Row],[Stock Close]]</f>
        <v>6.0858934835761151E-3</v>
      </c>
      <c r="F260" s="6"/>
      <c r="G260" s="6"/>
    </row>
    <row r="261" spans="1:7">
      <c r="A261" s="62">
        <v>44945</v>
      </c>
      <c r="B261" s="63">
        <v>3898.85</v>
      </c>
      <c r="C261" s="6">
        <v>367.94</v>
      </c>
      <c r="D261" s="6">
        <f>(B260-Table21[[#This Row],[Index Close]])/Table21[[#This Row],[Index Close]]</f>
        <v>1.8918399015094251E-2</v>
      </c>
      <c r="E261" s="6">
        <f>(C260-Table21[[#This Row],[Stock Close]])/Table21[[#This Row],[Stock Close]]</f>
        <v>2.2666739142251386E-2</v>
      </c>
      <c r="F261" s="6"/>
      <c r="G261" s="6"/>
    </row>
    <row r="262" spans="1:7">
      <c r="A262" s="62">
        <v>44944</v>
      </c>
      <c r="B262" s="63">
        <v>3928.86</v>
      </c>
      <c r="C262" s="6">
        <v>368.92</v>
      </c>
      <c r="D262" s="6">
        <f>(B261-Table21[[#This Row],[Index Close]])/Table21[[#This Row],[Index Close]]</f>
        <v>-7.6383480195273482E-3</v>
      </c>
      <c r="E262" s="6">
        <f>(C261-Table21[[#This Row],[Stock Close]])/Table21[[#This Row],[Stock Close]]</f>
        <v>-2.6564024720807169E-3</v>
      </c>
      <c r="F262" s="6"/>
      <c r="G262" s="6"/>
    </row>
    <row r="263" spans="1:7">
      <c r="A263" s="62">
        <v>44943</v>
      </c>
      <c r="B263" s="63">
        <v>3990.97</v>
      </c>
      <c r="C263" s="6">
        <v>375</v>
      </c>
      <c r="D263" s="6">
        <f>(B262-Table21[[#This Row],[Index Close]])/Table21[[#This Row],[Index Close]]</f>
        <v>-1.5562632643191925E-2</v>
      </c>
      <c r="E263" s="6">
        <f>(C262-Table21[[#This Row],[Stock Close]])/Table21[[#This Row],[Stock Close]]</f>
        <v>-1.6213333333333291E-2</v>
      </c>
      <c r="F263" s="6"/>
      <c r="G263" s="6"/>
    </row>
    <row r="264" spans="1:7">
      <c r="A264" s="62">
        <v>44939</v>
      </c>
      <c r="B264" s="63">
        <v>3999.09</v>
      </c>
      <c r="C264" s="6">
        <v>375.52</v>
      </c>
      <c r="D264" s="6">
        <f>(B263-Table21[[#This Row],[Index Close]])/Table21[[#This Row],[Index Close]]</f>
        <v>-2.0304619300891818E-3</v>
      </c>
      <c r="E264" s="6">
        <f>(C263-Table21[[#This Row],[Stock Close]])/Table21[[#This Row],[Stock Close]]</f>
        <v>-1.3847464848742593E-3</v>
      </c>
      <c r="F264" s="6"/>
      <c r="G264" s="6"/>
    </row>
    <row r="265" spans="1:7">
      <c r="A265" s="62">
        <v>44938</v>
      </c>
      <c r="B265" s="63">
        <v>3983.17</v>
      </c>
      <c r="C265" s="6">
        <v>379.81</v>
      </c>
      <c r="D265" s="6">
        <f>(B264-Table21[[#This Row],[Index Close]])/Table21[[#This Row],[Index Close]]</f>
        <v>3.9968166058692127E-3</v>
      </c>
      <c r="E265" s="6">
        <f>(C264-Table21[[#This Row],[Stock Close]])/Table21[[#This Row],[Stock Close]]</f>
        <v>-1.1295121244832996E-2</v>
      </c>
      <c r="F265" s="6"/>
      <c r="G265" s="6"/>
    </row>
    <row r="266" spans="1:7">
      <c r="A266" s="62">
        <v>44937</v>
      </c>
      <c r="B266" s="63">
        <v>3969.61</v>
      </c>
      <c r="C266" s="6">
        <v>377.86</v>
      </c>
      <c r="D266" s="6">
        <f>(B265-Table21[[#This Row],[Index Close]])/Table21[[#This Row],[Index Close]]</f>
        <v>3.4159527006431224E-3</v>
      </c>
      <c r="E266" s="6">
        <f>(C265-Table21[[#This Row],[Stock Close]])/Table21[[#This Row],[Stock Close]]</f>
        <v>5.1606415074365863E-3</v>
      </c>
      <c r="F266" s="6"/>
      <c r="G266" s="6"/>
    </row>
    <row r="267" spans="1:7">
      <c r="A267" s="62">
        <v>44936</v>
      </c>
      <c r="B267" s="63">
        <v>3919.25</v>
      </c>
      <c r="C267" s="6">
        <v>371.01</v>
      </c>
      <c r="D267" s="6">
        <f>(B266-Table21[[#This Row],[Index Close]])/Table21[[#This Row],[Index Close]]</f>
        <v>1.2849397206098139E-2</v>
      </c>
      <c r="E267" s="6">
        <f>(C266-Table21[[#This Row],[Stock Close]])/Table21[[#This Row],[Stock Close]]</f>
        <v>1.8463114201773601E-2</v>
      </c>
      <c r="F267" s="6"/>
      <c r="G267" s="6"/>
    </row>
    <row r="268" spans="1:7">
      <c r="A268" s="62">
        <v>44935</v>
      </c>
      <c r="B268" s="63">
        <v>3892.09</v>
      </c>
      <c r="C268" s="6">
        <v>370.97</v>
      </c>
      <c r="D268" s="6">
        <f>(B267-Table21[[#This Row],[Index Close]])/Table21[[#This Row],[Index Close]]</f>
        <v>6.9782558985017956E-3</v>
      </c>
      <c r="E268" s="6">
        <f>(C267-Table21[[#This Row],[Stock Close]])/Table21[[#This Row],[Stock Close]]</f>
        <v>1.078254306277155E-4</v>
      </c>
      <c r="F268" s="6"/>
      <c r="G268" s="6"/>
    </row>
    <row r="269" spans="1:7">
      <c r="A269" s="62">
        <v>44932</v>
      </c>
      <c r="B269" s="63">
        <v>3895.08</v>
      </c>
      <c r="C269" s="6">
        <v>367.67</v>
      </c>
      <c r="D269" s="6">
        <f>(B268-Table21[[#This Row],[Index Close]])/Table21[[#This Row],[Index Close]]</f>
        <v>-7.6763506782910281E-4</v>
      </c>
      <c r="E269" s="6">
        <f>(C268-Table21[[#This Row],[Stock Close]])/Table21[[#This Row],[Stock Close]]</f>
        <v>8.97543993254824E-3</v>
      </c>
      <c r="F269" s="6"/>
      <c r="G269" s="6"/>
    </row>
    <row r="270" spans="1:7">
      <c r="A270" s="62">
        <v>44931</v>
      </c>
      <c r="B270" s="63">
        <v>3808.1</v>
      </c>
      <c r="C270" s="6">
        <v>351.77</v>
      </c>
      <c r="D270" s="6">
        <f>(B269-Table21[[#This Row],[Index Close]])/Table21[[#This Row],[Index Close]]</f>
        <v>2.2840786744045591E-2</v>
      </c>
      <c r="E270" s="6">
        <f>(C269-Table21[[#This Row],[Stock Close]])/Table21[[#This Row],[Stock Close]]</f>
        <v>4.5199988628933777E-2</v>
      </c>
      <c r="F270" s="6"/>
      <c r="G270" s="6"/>
    </row>
    <row r="271" spans="1:7">
      <c r="A271" s="62">
        <v>44930</v>
      </c>
      <c r="B271" s="63">
        <v>3852.97</v>
      </c>
      <c r="C271" s="6">
        <v>355.15</v>
      </c>
      <c r="D271" s="6">
        <f>(B270-Table21[[#This Row],[Index Close]])/Table21[[#This Row],[Index Close]]</f>
        <v>-1.1645561735492332E-2</v>
      </c>
      <c r="E271" s="6">
        <f>(C270-Table21[[#This Row],[Stock Close]])/Table21[[#This Row],[Stock Close]]</f>
        <v>-9.5171054484020721E-3</v>
      </c>
      <c r="F271" s="6"/>
      <c r="G271" s="6"/>
    </row>
    <row r="272" spans="1:7">
      <c r="A272" s="62">
        <v>44929</v>
      </c>
      <c r="B272" s="63">
        <v>3824.14</v>
      </c>
      <c r="C272" s="6">
        <v>346.8</v>
      </c>
      <c r="D272" s="6">
        <f>(B271-Table21[[#This Row],[Index Close]])/Table21[[#This Row],[Index Close]]</f>
        <v>7.5389499338413156E-3</v>
      </c>
      <c r="E272" s="6">
        <f>(C271-Table21[[#This Row],[Stock Close]])/Table21[[#This Row],[Stock Close]]</f>
        <v>2.4077277970011433E-2</v>
      </c>
      <c r="F272" s="6"/>
      <c r="G272" s="6"/>
    </row>
    <row r="273" spans="1:7">
      <c r="A273" s="62">
        <v>44925</v>
      </c>
      <c r="B273" s="63">
        <v>3839.5</v>
      </c>
      <c r="C273" s="6">
        <v>347.73</v>
      </c>
      <c r="D273" s="6">
        <f>(B272-Table21[[#This Row],[Index Close]])/Table21[[#This Row],[Index Close]]</f>
        <v>-4.0005209011590385E-3</v>
      </c>
      <c r="E273" s="6">
        <f>(C272-Table21[[#This Row],[Stock Close]])/Table21[[#This Row],[Stock Close]]</f>
        <v>-2.6744888275386271E-3</v>
      </c>
      <c r="F273" s="6"/>
      <c r="G273" s="6"/>
    </row>
    <row r="274" spans="1:7">
      <c r="A274" s="62">
        <v>44924</v>
      </c>
      <c r="B274" s="63">
        <v>3849.28</v>
      </c>
      <c r="C274" s="6">
        <v>348.21</v>
      </c>
      <c r="D274" s="6">
        <f>(B273-Table21[[#This Row],[Index Close]])/Table21[[#This Row],[Index Close]]</f>
        <v>-2.5407348906809064E-3</v>
      </c>
      <c r="E274" s="6">
        <f>(C273-Table21[[#This Row],[Stock Close]])/Table21[[#This Row],[Stock Close]]</f>
        <v>-1.3784785043507118E-3</v>
      </c>
      <c r="F274" s="6"/>
      <c r="G274" s="6"/>
    </row>
    <row r="275" spans="1:7">
      <c r="A275" s="62">
        <v>44923</v>
      </c>
      <c r="B275" s="63">
        <v>3783.22</v>
      </c>
      <c r="C275" s="6">
        <v>341.95</v>
      </c>
      <c r="D275" s="6">
        <f>(B274-Table21[[#This Row],[Index Close]])/Table21[[#This Row],[Index Close]]</f>
        <v>1.7461316021801641E-2</v>
      </c>
      <c r="E275" s="6">
        <f>(C274-Table21[[#This Row],[Stock Close]])/Table21[[#This Row],[Stock Close]]</f>
        <v>1.8306769995613367E-2</v>
      </c>
      <c r="F275" s="6"/>
      <c r="G275" s="6"/>
    </row>
    <row r="276" spans="1:7">
      <c r="A276" s="62">
        <v>44922</v>
      </c>
      <c r="B276" s="63">
        <v>3829.25</v>
      </c>
      <c r="C276" s="6">
        <v>346.16</v>
      </c>
      <c r="D276" s="6">
        <f>(B275-Table21[[#This Row],[Index Close]])/Table21[[#This Row],[Index Close]]</f>
        <v>-1.2020630671802625E-2</v>
      </c>
      <c r="E276" s="6">
        <f>(C275-Table21[[#This Row],[Stock Close]])/Table21[[#This Row],[Stock Close]]</f>
        <v>-1.2162006008782171E-2</v>
      </c>
      <c r="F276" s="6"/>
      <c r="G276" s="6"/>
    </row>
    <row r="277" spans="1:7">
      <c r="A277" s="62">
        <v>44918</v>
      </c>
      <c r="B277" s="63">
        <v>3844.82</v>
      </c>
      <c r="C277" s="6">
        <v>343.6</v>
      </c>
      <c r="D277" s="6">
        <f>(B276-Table21[[#This Row],[Index Close]])/Table21[[#This Row],[Index Close]]</f>
        <v>-4.0496044028069354E-3</v>
      </c>
      <c r="E277" s="6">
        <f>(C276-Table21[[#This Row],[Stock Close]])/Table21[[#This Row],[Stock Close]]</f>
        <v>7.450523864959261E-3</v>
      </c>
      <c r="F277" s="6"/>
      <c r="G277" s="6"/>
    </row>
    <row r="278" spans="1:7">
      <c r="A278" s="62">
        <v>44917</v>
      </c>
      <c r="B278" s="63">
        <v>3822.39</v>
      </c>
      <c r="C278" s="6">
        <v>341.52</v>
      </c>
      <c r="D278" s="6">
        <f>(B277-Table21[[#This Row],[Index Close]])/Table21[[#This Row],[Index Close]]</f>
        <v>5.8680563731069542E-3</v>
      </c>
      <c r="E278" s="6">
        <f>(C277-Table21[[#This Row],[Stock Close]])/Table21[[#This Row],[Stock Close]]</f>
        <v>6.0904193019443694E-3</v>
      </c>
      <c r="F278" s="6"/>
      <c r="G278" s="6"/>
    </row>
    <row r="279" spans="1:7">
      <c r="A279" s="62">
        <v>44916</v>
      </c>
      <c r="B279" s="63">
        <v>3878.44</v>
      </c>
      <c r="C279" s="6">
        <v>345.69</v>
      </c>
      <c r="D279" s="6">
        <f>(B278-Table21[[#This Row],[Index Close]])/Table21[[#This Row],[Index Close]]</f>
        <v>-1.4451686760656394E-2</v>
      </c>
      <c r="E279" s="6">
        <f>(C278-Table21[[#This Row],[Stock Close]])/Table21[[#This Row],[Stock Close]]</f>
        <v>-1.2062830860019138E-2</v>
      </c>
      <c r="F279" s="6"/>
      <c r="G279" s="6"/>
    </row>
    <row r="280" spans="1:7">
      <c r="A280" s="62">
        <v>44915</v>
      </c>
      <c r="B280" s="63">
        <v>3821.62</v>
      </c>
      <c r="C280" s="6">
        <v>342.95</v>
      </c>
      <c r="D280" s="6">
        <f>(B279-Table21[[#This Row],[Index Close]])/Table21[[#This Row],[Index Close]]</f>
        <v>1.4868040255179784E-2</v>
      </c>
      <c r="E280" s="6">
        <f>(C279-Table21[[#This Row],[Stock Close]])/Table21[[#This Row],[Stock Close]]</f>
        <v>7.9895028429800528E-3</v>
      </c>
      <c r="F280" s="6"/>
      <c r="G280" s="6"/>
    </row>
    <row r="281" spans="1:7">
      <c r="A281" s="62">
        <v>44914</v>
      </c>
      <c r="B281" s="63">
        <v>3817.66</v>
      </c>
      <c r="C281" s="6">
        <v>341.26</v>
      </c>
      <c r="D281" s="6">
        <f>(B280-Table21[[#This Row],[Index Close]])/Table21[[#This Row],[Index Close]]</f>
        <v>1.0372846193741811E-3</v>
      </c>
      <c r="E281" s="6">
        <f>(C280-Table21[[#This Row],[Stock Close]])/Table21[[#This Row],[Stock Close]]</f>
        <v>4.9522358319170068E-3</v>
      </c>
      <c r="F281" s="6"/>
      <c r="G281" s="6"/>
    </row>
    <row r="282" spans="1:7">
      <c r="A282" s="62">
        <v>44911</v>
      </c>
      <c r="B282" s="63">
        <v>3852.36</v>
      </c>
      <c r="C282" s="6">
        <v>345.84</v>
      </c>
      <c r="D282" s="6">
        <f>(B281-Table21[[#This Row],[Index Close]])/Table21[[#This Row],[Index Close]]</f>
        <v>-9.007465553582809E-3</v>
      </c>
      <c r="E282" s="6">
        <f>(C281-Table21[[#This Row],[Stock Close]])/Table21[[#This Row],[Stock Close]]</f>
        <v>-1.3243118204950222E-2</v>
      </c>
      <c r="F282" s="6"/>
      <c r="G282" s="6"/>
    </row>
    <row r="283" spans="1:7">
      <c r="A283" s="62">
        <v>44910</v>
      </c>
      <c r="B283" s="63">
        <v>3895.75</v>
      </c>
      <c r="C283" s="6">
        <v>346.25</v>
      </c>
      <c r="D283" s="6">
        <f>(B282-Table21[[#This Row],[Index Close]])/Table21[[#This Row],[Index Close]]</f>
        <v>-1.1137778348199928E-2</v>
      </c>
      <c r="E283" s="6">
        <f>(C282-Table21[[#This Row],[Stock Close]])/Table21[[#This Row],[Stock Close]]</f>
        <v>-1.1841155234657763E-3</v>
      </c>
      <c r="F283" s="6"/>
      <c r="G283" s="6"/>
    </row>
    <row r="284" spans="1:7">
      <c r="A284" s="62">
        <v>44909</v>
      </c>
      <c r="B284" s="63">
        <v>3995.32</v>
      </c>
      <c r="C284" s="6">
        <v>357.51</v>
      </c>
      <c r="D284" s="6">
        <f>(B283-Table21[[#This Row],[Index Close]])/Table21[[#This Row],[Index Close]]</f>
        <v>-2.492165834025814E-2</v>
      </c>
      <c r="E284" s="6">
        <f>(C283-Table21[[#This Row],[Stock Close]])/Table21[[#This Row],[Stock Close]]</f>
        <v>-3.1495622500069903E-2</v>
      </c>
      <c r="F284" s="6"/>
      <c r="G284" s="6"/>
    </row>
    <row r="285" spans="1:7">
      <c r="A285" s="62">
        <v>44908</v>
      </c>
      <c r="B285" s="63">
        <v>4019.65</v>
      </c>
      <c r="C285" s="6">
        <v>357.15</v>
      </c>
      <c r="D285" s="6">
        <f>(B284-Table21[[#This Row],[Index Close]])/Table21[[#This Row],[Index Close]]</f>
        <v>-6.052765788066107E-3</v>
      </c>
      <c r="E285" s="6">
        <f>(C284-Table21[[#This Row],[Stock Close]])/Table21[[#This Row],[Stock Close]]</f>
        <v>1.0079798404032303E-3</v>
      </c>
      <c r="F285" s="6"/>
      <c r="G285" s="6"/>
    </row>
    <row r="286" spans="1:7">
      <c r="A286" s="62">
        <v>44907</v>
      </c>
      <c r="B286" s="63">
        <v>3990.56</v>
      </c>
      <c r="C286" s="6">
        <v>358.17</v>
      </c>
      <c r="D286" s="6">
        <f>(B285-Table21[[#This Row],[Index Close]])/Table21[[#This Row],[Index Close]]</f>
        <v>7.2897037007337686E-3</v>
      </c>
      <c r="E286" s="6">
        <f>(C285-Table21[[#This Row],[Stock Close]])/Table21[[#This Row],[Stock Close]]</f>
        <v>-2.8478096993049071E-3</v>
      </c>
      <c r="F286" s="6"/>
      <c r="G286" s="6"/>
    </row>
    <row r="287" spans="1:7">
      <c r="A287" s="62">
        <v>44904</v>
      </c>
      <c r="B287" s="63">
        <v>3934.38</v>
      </c>
      <c r="C287" s="6">
        <v>348.83</v>
      </c>
      <c r="D287" s="6">
        <f>(B286-Table21[[#This Row],[Index Close]])/Table21[[#This Row],[Index Close]]</f>
        <v>1.4279251114533887E-2</v>
      </c>
      <c r="E287" s="6">
        <f>(C286-Table21[[#This Row],[Stock Close]])/Table21[[#This Row],[Stock Close]]</f>
        <v>2.6775220021213863E-2</v>
      </c>
      <c r="F287" s="6"/>
      <c r="G287" s="6"/>
    </row>
    <row r="288" spans="1:7">
      <c r="A288" s="62">
        <v>44903</v>
      </c>
      <c r="B288" s="63">
        <v>3963.51</v>
      </c>
      <c r="C288" s="6">
        <v>351.17</v>
      </c>
      <c r="D288" s="6">
        <f>(B287-Table21[[#This Row],[Index Close]])/Table21[[#This Row],[Index Close]]</f>
        <v>-7.349546235533683E-3</v>
      </c>
      <c r="E288" s="6">
        <f>(C287-Table21[[#This Row],[Stock Close]])/Table21[[#This Row],[Stock Close]]</f>
        <v>-6.6634393598542924E-3</v>
      </c>
      <c r="F288" s="6"/>
      <c r="G288" s="6"/>
    </row>
    <row r="289" spans="1:7">
      <c r="A289" s="62">
        <v>44902</v>
      </c>
      <c r="B289" s="63">
        <v>3933.92</v>
      </c>
      <c r="C289" s="6">
        <v>347.42</v>
      </c>
      <c r="D289" s="6">
        <f>(B288-Table21[[#This Row],[Index Close]])/Table21[[#This Row],[Index Close]]</f>
        <v>7.5217594663847115E-3</v>
      </c>
      <c r="E289" s="6">
        <f>(C288-Table21[[#This Row],[Stock Close]])/Table21[[#This Row],[Stock Close]]</f>
        <v>1.0793851822002187E-2</v>
      </c>
      <c r="F289" s="6"/>
      <c r="G289" s="6"/>
    </row>
    <row r="290" spans="1:7">
      <c r="A290" s="62">
        <v>44901</v>
      </c>
      <c r="B290" s="63">
        <v>3941.26</v>
      </c>
      <c r="C290" s="6">
        <v>347.53</v>
      </c>
      <c r="D290" s="6">
        <f>(B289-Table21[[#This Row],[Index Close]])/Table21[[#This Row],[Index Close]]</f>
        <v>-1.8623485890299409E-3</v>
      </c>
      <c r="E290" s="6">
        <f>(C289-Table21[[#This Row],[Stock Close]])/Table21[[#This Row],[Stock Close]]</f>
        <v>-3.1651943717076744E-4</v>
      </c>
      <c r="F290" s="6"/>
      <c r="G290" s="6"/>
    </row>
    <row r="291" spans="1:7">
      <c r="A291" s="62">
        <v>44900</v>
      </c>
      <c r="B291" s="63">
        <v>3998.84</v>
      </c>
      <c r="C291" s="6">
        <v>356.09</v>
      </c>
      <c r="D291" s="6">
        <f>(B290-Table21[[#This Row],[Index Close]])/Table21[[#This Row],[Index Close]]</f>
        <v>-1.4399175760970663E-2</v>
      </c>
      <c r="E291" s="6">
        <f>(C290-Table21[[#This Row],[Stock Close]])/Table21[[#This Row],[Stock Close]]</f>
        <v>-2.4038866578673938E-2</v>
      </c>
      <c r="F291" s="6"/>
      <c r="G291" s="6"/>
    </row>
    <row r="292" spans="1:7">
      <c r="A292" s="62">
        <v>44897</v>
      </c>
      <c r="B292" s="63">
        <v>4071.7</v>
      </c>
      <c r="C292" s="6">
        <v>360.06</v>
      </c>
      <c r="D292" s="6">
        <f>(B291-Table21[[#This Row],[Index Close]])/Table21[[#This Row],[Index Close]]</f>
        <v>-1.7894245646781364E-2</v>
      </c>
      <c r="E292" s="6">
        <f>(C291-Table21[[#This Row],[Stock Close]])/Table21[[#This Row],[Stock Close]]</f>
        <v>-1.1025940121091005E-2</v>
      </c>
      <c r="F292" s="6"/>
      <c r="G292" s="6"/>
    </row>
    <row r="293" spans="1:7">
      <c r="A293" s="62">
        <v>44896</v>
      </c>
      <c r="B293" s="63">
        <v>4076.57</v>
      </c>
      <c r="C293" s="6">
        <v>360.8</v>
      </c>
      <c r="D293" s="6">
        <f>(B292-Table21[[#This Row],[Index Close]])/Table21[[#This Row],[Index Close]]</f>
        <v>-1.1946317615054679E-3</v>
      </c>
      <c r="E293" s="6">
        <f>(C292-Table21[[#This Row],[Stock Close]])/Table21[[#This Row],[Stock Close]]</f>
        <v>-2.0509977827051248E-3</v>
      </c>
      <c r="F293" s="6"/>
      <c r="G293" s="6"/>
    </row>
    <row r="294" spans="1:7">
      <c r="A294" s="62">
        <v>44895</v>
      </c>
      <c r="B294" s="63">
        <v>4080.11</v>
      </c>
      <c r="C294" s="6">
        <v>356.4</v>
      </c>
      <c r="D294" s="6">
        <f>(B293-Table21[[#This Row],[Index Close]])/Table21[[#This Row],[Index Close]]</f>
        <v>-8.6762366700896877E-4</v>
      </c>
      <c r="E294" s="6">
        <f>(C293-Table21[[#This Row],[Stock Close]])/Table21[[#This Row],[Stock Close]]</f>
        <v>1.2345679012345775E-2</v>
      </c>
      <c r="F294" s="6"/>
      <c r="G294" s="6"/>
    </row>
    <row r="295" spans="1:7">
      <c r="A295" s="62">
        <v>44894</v>
      </c>
      <c r="B295" s="63">
        <v>3957.63</v>
      </c>
      <c r="C295" s="6">
        <v>343.13</v>
      </c>
      <c r="D295" s="6">
        <f>(B294-Table21[[#This Row],[Index Close]])/Table21[[#This Row],[Index Close]]</f>
        <v>3.094781472750106E-2</v>
      </c>
      <c r="E295" s="6">
        <f>(C294-Table21[[#This Row],[Stock Close]])/Table21[[#This Row],[Stock Close]]</f>
        <v>3.8673389094512234E-2</v>
      </c>
      <c r="F295" s="6"/>
      <c r="G295" s="6"/>
    </row>
    <row r="296" spans="1:7">
      <c r="A296" s="62">
        <v>44893</v>
      </c>
      <c r="B296" s="63">
        <v>3963.94</v>
      </c>
      <c r="C296" s="6">
        <v>344.59</v>
      </c>
      <c r="D296" s="6">
        <f>(B295-Table21[[#This Row],[Index Close]])/Table21[[#This Row],[Index Close]]</f>
        <v>-1.5918505325509329E-3</v>
      </c>
      <c r="E296" s="6">
        <f>(C295-Table21[[#This Row],[Stock Close]])/Table21[[#This Row],[Stock Close]]</f>
        <v>-4.2369192373544785E-3</v>
      </c>
      <c r="F296" s="6"/>
      <c r="G296" s="6"/>
    </row>
    <row r="297" spans="1:7">
      <c r="A297" s="62">
        <v>44890</v>
      </c>
      <c r="B297" s="63">
        <v>4026.12</v>
      </c>
      <c r="C297" s="6">
        <v>351.29</v>
      </c>
      <c r="D297" s="6">
        <f>(B296-Table21[[#This Row],[Index Close]])/Table21[[#This Row],[Index Close]]</f>
        <v>-1.5444149702443007E-2</v>
      </c>
      <c r="E297" s="6">
        <f>(C296-Table21[[#This Row],[Stock Close]])/Table21[[#This Row],[Stock Close]]</f>
        <v>-1.9072561131828532E-2</v>
      </c>
      <c r="F297" s="6"/>
      <c r="G297" s="6"/>
    </row>
    <row r="298" spans="1:7">
      <c r="A298" s="62">
        <v>44888</v>
      </c>
      <c r="B298" s="63">
        <v>4027.26</v>
      </c>
      <c r="C298" s="6">
        <v>348.64</v>
      </c>
      <c r="D298" s="6">
        <f>(B297-Table21[[#This Row],[Index Close]])/Table21[[#This Row],[Index Close]]</f>
        <v>-2.8307087200735176E-4</v>
      </c>
      <c r="E298" s="6">
        <f>(C297-Table21[[#This Row],[Stock Close]])/Table21[[#This Row],[Stock Close]]</f>
        <v>7.6009637448371794E-3</v>
      </c>
      <c r="F298" s="6"/>
      <c r="G298" s="6"/>
    </row>
    <row r="299" spans="1:7">
      <c r="A299" s="62">
        <v>44887</v>
      </c>
      <c r="B299" s="63">
        <v>4003.58</v>
      </c>
      <c r="C299" s="6">
        <v>344.96</v>
      </c>
      <c r="D299" s="6">
        <f>(B298-Table21[[#This Row],[Index Close]])/Table21[[#This Row],[Index Close]]</f>
        <v>5.9147063378277168E-3</v>
      </c>
      <c r="E299" s="6">
        <f>(C298-Table21[[#This Row],[Stock Close]])/Table21[[#This Row],[Stock Close]]</f>
        <v>1.0667903525046403E-2</v>
      </c>
      <c r="F299" s="6"/>
      <c r="G299" s="6"/>
    </row>
    <row r="300" spans="1:7">
      <c r="A300" s="62">
        <v>44886</v>
      </c>
      <c r="B300" s="63">
        <v>3949.94</v>
      </c>
      <c r="C300" s="6">
        <v>338.25</v>
      </c>
      <c r="D300" s="6">
        <f>(B299-Table21[[#This Row],[Index Close]])/Table21[[#This Row],[Index Close]]</f>
        <v>1.3579953113211814E-2</v>
      </c>
      <c r="E300" s="6">
        <f>(C299-Table21[[#This Row],[Stock Close]])/Table21[[#This Row],[Stock Close]]</f>
        <v>1.983739837398368E-2</v>
      </c>
      <c r="F300" s="6"/>
      <c r="G300" s="6"/>
    </row>
    <row r="301" spans="1:7">
      <c r="A301" s="62">
        <v>44883</v>
      </c>
      <c r="B301" s="63">
        <v>3965.34</v>
      </c>
      <c r="C301" s="6">
        <v>343.69</v>
      </c>
      <c r="D301" s="6">
        <f>(B300-Table21[[#This Row],[Index Close]])/Table21[[#This Row],[Index Close]]</f>
        <v>-3.8836518432215374E-3</v>
      </c>
      <c r="E301" s="6">
        <f>(C300-Table21[[#This Row],[Stock Close]])/Table21[[#This Row],[Stock Close]]</f>
        <v>-1.5828217288835864E-2</v>
      </c>
      <c r="F301" s="6"/>
      <c r="G301" s="6"/>
    </row>
    <row r="302" spans="1:7">
      <c r="A302" s="62">
        <v>44882</v>
      </c>
      <c r="B302" s="63">
        <v>3946.56</v>
      </c>
      <c r="C302" s="6">
        <v>341.27</v>
      </c>
      <c r="D302" s="6">
        <f>(B301-Table21[[#This Row],[Index Close]])/Table21[[#This Row],[Index Close]]</f>
        <v>4.7585745560691341E-3</v>
      </c>
      <c r="E302" s="6">
        <f>(C301-Table21[[#This Row],[Stock Close]])/Table21[[#This Row],[Stock Close]]</f>
        <v>7.0911594924840038E-3</v>
      </c>
      <c r="F302" s="6"/>
      <c r="G302" s="6"/>
    </row>
    <row r="303" spans="1:7">
      <c r="A303" s="62">
        <v>44881</v>
      </c>
      <c r="B303" s="63">
        <v>3958.79</v>
      </c>
      <c r="C303" s="6">
        <v>342.76</v>
      </c>
      <c r="D303" s="6">
        <f>(B302-Table21[[#This Row],[Index Close]])/Table21[[#This Row],[Index Close]]</f>
        <v>-3.0893277996559602E-3</v>
      </c>
      <c r="E303" s="6">
        <f>(C302-Table21[[#This Row],[Stock Close]])/Table21[[#This Row],[Stock Close]]</f>
        <v>-4.3470650017505223E-3</v>
      </c>
      <c r="F303" s="6"/>
      <c r="G303" s="6"/>
    </row>
    <row r="304" spans="1:7">
      <c r="A304" s="62">
        <v>44880</v>
      </c>
      <c r="B304" s="63">
        <v>3991.73</v>
      </c>
      <c r="C304" s="6">
        <v>343.51</v>
      </c>
      <c r="D304" s="6">
        <f>(B303-Table21[[#This Row],[Index Close]])/Table21[[#This Row],[Index Close]]</f>
        <v>-8.2520611363995199E-3</v>
      </c>
      <c r="E304" s="6">
        <f>(C303-Table21[[#This Row],[Stock Close]])/Table21[[#This Row],[Stock Close]]</f>
        <v>-2.1833425518907748E-3</v>
      </c>
      <c r="F304" s="6"/>
      <c r="G304" s="6"/>
    </row>
    <row r="305" spans="1:7">
      <c r="A305" s="62">
        <v>44879</v>
      </c>
      <c r="B305" s="63">
        <v>3957.25</v>
      </c>
      <c r="C305" s="6">
        <v>339.37</v>
      </c>
      <c r="D305" s="6">
        <f>(B304-Table21[[#This Row],[Index Close]])/Table21[[#This Row],[Index Close]]</f>
        <v>8.7131214858803506E-3</v>
      </c>
      <c r="E305" s="6">
        <f>(C304-Table21[[#This Row],[Stock Close]])/Table21[[#This Row],[Stock Close]]</f>
        <v>1.2199074756165796E-2</v>
      </c>
      <c r="F305" s="6"/>
      <c r="G305" s="6"/>
    </row>
    <row r="306" spans="1:7">
      <c r="A306" s="62">
        <v>44876</v>
      </c>
      <c r="B306" s="63">
        <v>3992.93</v>
      </c>
      <c r="C306" s="6">
        <v>339.29</v>
      </c>
      <c r="D306" s="6">
        <f>(B305-Table21[[#This Row],[Index Close]])/Table21[[#This Row],[Index Close]]</f>
        <v>-8.9357940159231035E-3</v>
      </c>
      <c r="E306" s="6">
        <f>(C305-Table21[[#This Row],[Stock Close]])/Table21[[#This Row],[Stock Close]]</f>
        <v>2.3578649532843315E-4</v>
      </c>
      <c r="F306" s="6"/>
      <c r="G306" s="6"/>
    </row>
    <row r="307" spans="1:7">
      <c r="A307" s="62">
        <v>44875</v>
      </c>
      <c r="B307" s="63">
        <v>3956.37</v>
      </c>
      <c r="C307" s="6">
        <v>337.27</v>
      </c>
      <c r="D307" s="6">
        <f>(B306-Table21[[#This Row],[Index Close]])/Table21[[#This Row],[Index Close]]</f>
        <v>9.2407939601199963E-3</v>
      </c>
      <c r="E307" s="6">
        <f>(C306-Table21[[#This Row],[Stock Close]])/Table21[[#This Row],[Stock Close]]</f>
        <v>5.9892667595695991E-3</v>
      </c>
      <c r="F307" s="6"/>
      <c r="G307" s="6"/>
    </row>
    <row r="308" spans="1:7">
      <c r="A308" s="62">
        <v>44874</v>
      </c>
      <c r="B308" s="63">
        <v>3748.57</v>
      </c>
      <c r="C308" s="6">
        <v>315.64</v>
      </c>
      <c r="D308" s="6">
        <f>(B307-Table21[[#This Row],[Index Close]])/Table21[[#This Row],[Index Close]]</f>
        <v>5.5434472345454323E-2</v>
      </c>
      <c r="E308" s="6">
        <f>(C307-Table21[[#This Row],[Stock Close]])/Table21[[#This Row],[Stock Close]]</f>
        <v>6.8527436319858054E-2</v>
      </c>
      <c r="F308" s="6"/>
      <c r="G308" s="6"/>
    </row>
    <row r="309" spans="1:7">
      <c r="A309" s="62">
        <v>44873</v>
      </c>
      <c r="B309" s="63">
        <v>3828.11</v>
      </c>
      <c r="C309" s="6">
        <v>325.75</v>
      </c>
      <c r="D309" s="6">
        <f>(B308-Table21[[#This Row],[Index Close]])/Table21[[#This Row],[Index Close]]</f>
        <v>-2.0777877333723421E-2</v>
      </c>
      <c r="E309" s="6">
        <f>(C308-Table21[[#This Row],[Stock Close]])/Table21[[#This Row],[Stock Close]]</f>
        <v>-3.1036070606293212E-2</v>
      </c>
      <c r="F309" s="6"/>
      <c r="G309" s="6"/>
    </row>
    <row r="310" spans="1:7">
      <c r="A310" s="62">
        <v>44872</v>
      </c>
      <c r="B310" s="63">
        <v>3806.8</v>
      </c>
      <c r="C310" s="6">
        <v>325.13</v>
      </c>
      <c r="D310" s="6">
        <f>(B309-Table21[[#This Row],[Index Close]])/Table21[[#This Row],[Index Close]]</f>
        <v>5.5978774823999015E-3</v>
      </c>
      <c r="E310" s="6">
        <f>(C309-Table21[[#This Row],[Stock Close]])/Table21[[#This Row],[Stock Close]]</f>
        <v>1.9069295358779706E-3</v>
      </c>
      <c r="F310" s="6"/>
      <c r="G310" s="6"/>
    </row>
    <row r="311" spans="1:7">
      <c r="A311" s="62">
        <v>44869</v>
      </c>
      <c r="B311" s="63">
        <v>3770.55</v>
      </c>
      <c r="C311" s="6">
        <v>318.37</v>
      </c>
      <c r="D311" s="6">
        <f>(B310-Table21[[#This Row],[Index Close]])/Table21[[#This Row],[Index Close]]</f>
        <v>9.613982045059739E-3</v>
      </c>
      <c r="E311" s="6">
        <f>(C310-Table21[[#This Row],[Stock Close]])/Table21[[#This Row],[Stock Close]]</f>
        <v>2.1233156390363384E-2</v>
      </c>
      <c r="F311" s="6"/>
      <c r="G311" s="6"/>
    </row>
    <row r="312" spans="1:7">
      <c r="A312" s="62">
        <v>44868</v>
      </c>
      <c r="B312" s="63">
        <v>3719.89</v>
      </c>
      <c r="C312" s="6">
        <v>309.17</v>
      </c>
      <c r="D312" s="6">
        <f>(B311-Table21[[#This Row],[Index Close]])/Table21[[#This Row],[Index Close]]</f>
        <v>1.3618682272862991E-2</v>
      </c>
      <c r="E312" s="6">
        <f>(C311-Table21[[#This Row],[Stock Close]])/Table21[[#This Row],[Stock Close]]</f>
        <v>2.9757091567745864E-2</v>
      </c>
      <c r="F312" s="6"/>
      <c r="G312" s="6"/>
    </row>
    <row r="313" spans="1:7">
      <c r="A313" s="62">
        <v>44867</v>
      </c>
      <c r="B313" s="63">
        <v>3759.69</v>
      </c>
      <c r="C313" s="6">
        <v>319.82</v>
      </c>
      <c r="D313" s="6">
        <f>(B312-Table21[[#This Row],[Index Close]])/Table21[[#This Row],[Index Close]]</f>
        <v>-1.0585979163175736E-2</v>
      </c>
      <c r="E313" s="6">
        <f>(C312-Table21[[#This Row],[Stock Close]])/Table21[[#This Row],[Stock Close]]</f>
        <v>-3.3299981239447121E-2</v>
      </c>
      <c r="F313" s="6"/>
      <c r="G313" s="6"/>
    </row>
    <row r="314" spans="1:7">
      <c r="A314" s="62">
        <v>44866</v>
      </c>
      <c r="B314" s="63">
        <v>3856.1</v>
      </c>
      <c r="C314" s="6">
        <v>333.19</v>
      </c>
      <c r="D314" s="6">
        <f>(B313-Table21[[#This Row],[Index Close]])/Table21[[#This Row],[Index Close]]</f>
        <v>-2.500194497030675E-2</v>
      </c>
      <c r="E314" s="6">
        <f>(C313-Table21[[#This Row],[Stock Close]])/Table21[[#This Row],[Stock Close]]</f>
        <v>-4.0127254719529409E-2</v>
      </c>
      <c r="F314" s="6"/>
      <c r="G314" s="6"/>
    </row>
    <row r="315" spans="1:7">
      <c r="A315" s="62">
        <v>44865</v>
      </c>
      <c r="B315" s="63">
        <v>3871.98</v>
      </c>
      <c r="C315" s="6">
        <v>328.18</v>
      </c>
      <c r="D315" s="6">
        <f>(B314-Table21[[#This Row],[Index Close]])/Table21[[#This Row],[Index Close]]</f>
        <v>-4.1012608536201397E-3</v>
      </c>
      <c r="E315" s="6">
        <f>(C314-Table21[[#This Row],[Stock Close]])/Table21[[#This Row],[Stock Close]]</f>
        <v>1.5266012554086144E-2</v>
      </c>
      <c r="F315" s="6"/>
      <c r="G315" s="6"/>
    </row>
    <row r="316" spans="1:7">
      <c r="A316" s="62">
        <v>44862</v>
      </c>
      <c r="B316" s="63">
        <v>3901.06</v>
      </c>
      <c r="C316" s="6">
        <v>329.47</v>
      </c>
      <c r="D316" s="6">
        <f>(B315-Table21[[#This Row],[Index Close]])/Table21[[#This Row],[Index Close]]</f>
        <v>-7.4543841930141876E-3</v>
      </c>
      <c r="E316" s="6">
        <f>(C315-Table21[[#This Row],[Stock Close]])/Table21[[#This Row],[Stock Close]]</f>
        <v>-3.9153792454548831E-3</v>
      </c>
      <c r="F316" s="6"/>
      <c r="G316" s="6"/>
    </row>
    <row r="317" spans="1:7">
      <c r="A317" s="62">
        <v>44861</v>
      </c>
      <c r="B317" s="63">
        <v>3807.3</v>
      </c>
      <c r="C317" s="6">
        <v>319.37</v>
      </c>
      <c r="D317" s="6">
        <f>(B316-Table21[[#This Row],[Index Close]])/Table21[[#This Row],[Index Close]]</f>
        <v>2.4626375646783747E-2</v>
      </c>
      <c r="E317" s="6">
        <f>(C316-Table21[[#This Row],[Stock Close]])/Table21[[#This Row],[Stock Close]]</f>
        <v>3.1624761248708465E-2</v>
      </c>
      <c r="F317" s="6"/>
      <c r="G317" s="6"/>
    </row>
    <row r="318" spans="1:7">
      <c r="A318" s="62">
        <v>44860</v>
      </c>
      <c r="B318" s="63">
        <v>3830.6</v>
      </c>
      <c r="C318" s="6">
        <v>319.51</v>
      </c>
      <c r="D318" s="6">
        <f>(B317-Table21[[#This Row],[Index Close]])/Table21[[#This Row],[Index Close]]</f>
        <v>-6.0825980264187663E-3</v>
      </c>
      <c r="E318" s="6">
        <f>(C317-Table21[[#This Row],[Stock Close]])/Table21[[#This Row],[Stock Close]]</f>
        <v>-4.3817094926602097E-4</v>
      </c>
      <c r="F318" s="6"/>
      <c r="G318" s="6"/>
    </row>
    <row r="319" spans="1:7">
      <c r="A319" s="62">
        <v>44859</v>
      </c>
      <c r="B319" s="63">
        <v>3859.11</v>
      </c>
      <c r="C319" s="6">
        <v>311.41000000000003</v>
      </c>
      <c r="D319" s="6">
        <f>(B318-Table21[[#This Row],[Index Close]])/Table21[[#This Row],[Index Close]]</f>
        <v>-7.3877137474703276E-3</v>
      </c>
      <c r="E319" s="6">
        <f>(C318-Table21[[#This Row],[Stock Close]])/Table21[[#This Row],[Stock Close]]</f>
        <v>2.6010725410230775E-2</v>
      </c>
      <c r="F319" s="6"/>
      <c r="G319" s="6"/>
    </row>
    <row r="320" spans="1:7">
      <c r="A320" s="62">
        <v>44858</v>
      </c>
      <c r="B320" s="63">
        <v>3797.34</v>
      </c>
      <c r="C320" s="6">
        <v>305.60000000000002</v>
      </c>
      <c r="D320" s="6">
        <f>(B319-Table21[[#This Row],[Index Close]])/Table21[[#This Row],[Index Close]]</f>
        <v>1.6266649812763666E-2</v>
      </c>
      <c r="E320" s="6">
        <f>(C319-Table21[[#This Row],[Stock Close]])/Table21[[#This Row],[Stock Close]]</f>
        <v>1.9011780104712047E-2</v>
      </c>
      <c r="F320" s="6"/>
      <c r="G320" s="6"/>
    </row>
    <row r="321" spans="1:7">
      <c r="A321" s="62">
        <v>44855</v>
      </c>
      <c r="B321" s="63">
        <v>3752.75</v>
      </c>
      <c r="C321" s="6">
        <v>302.37</v>
      </c>
      <c r="D321" s="6">
        <f>(B320-Table21[[#This Row],[Index Close]])/Table21[[#This Row],[Index Close]]</f>
        <v>1.188195323429489E-2</v>
      </c>
      <c r="E321" s="6">
        <f>(C320-Table21[[#This Row],[Stock Close]])/Table21[[#This Row],[Stock Close]]</f>
        <v>1.0682276680887713E-2</v>
      </c>
      <c r="F321" s="6"/>
      <c r="G321" s="6"/>
    </row>
    <row r="322" spans="1:7">
      <c r="A322" s="62">
        <v>44854</v>
      </c>
      <c r="B322" s="63">
        <v>3665.78</v>
      </c>
      <c r="C322" s="6">
        <v>296.27999999999997</v>
      </c>
      <c r="D322" s="6">
        <f>(B321-Table21[[#This Row],[Index Close]])/Table21[[#This Row],[Index Close]]</f>
        <v>2.3724828003862695E-2</v>
      </c>
      <c r="E322" s="6">
        <f>(C321-Table21[[#This Row],[Stock Close]])/Table21[[#This Row],[Stock Close]]</f>
        <v>2.0554880518428624E-2</v>
      </c>
      <c r="F322" s="6"/>
      <c r="G322" s="6"/>
    </row>
    <row r="323" spans="1:7">
      <c r="A323" s="62">
        <v>44853</v>
      </c>
      <c r="B323" s="63">
        <v>3695.16</v>
      </c>
      <c r="C323" s="6">
        <v>297.76</v>
      </c>
      <c r="D323" s="6">
        <f>(B322-Table21[[#This Row],[Index Close]])/Table21[[#This Row],[Index Close]]</f>
        <v>-7.9509412312321129E-3</v>
      </c>
      <c r="E323" s="6">
        <f>(C322-Table21[[#This Row],[Stock Close]])/Table21[[#This Row],[Stock Close]]</f>
        <v>-4.9704459967759886E-3</v>
      </c>
      <c r="F323" s="6"/>
      <c r="G323" s="6"/>
    </row>
    <row r="324" spans="1:7">
      <c r="A324" s="62">
        <v>44852</v>
      </c>
      <c r="B324" s="63">
        <v>3719.98</v>
      </c>
      <c r="C324" s="6">
        <v>300.38</v>
      </c>
      <c r="D324" s="6">
        <f>(B323-Table21[[#This Row],[Index Close]])/Table21[[#This Row],[Index Close]]</f>
        <v>-6.6720788821445715E-3</v>
      </c>
      <c r="E324" s="6">
        <f>(C323-Table21[[#This Row],[Stock Close]])/Table21[[#This Row],[Stock Close]]</f>
        <v>-8.7222851055330074E-3</v>
      </c>
      <c r="F324" s="6"/>
      <c r="G324" s="6"/>
    </row>
    <row r="325" spans="1:7">
      <c r="A325" s="62">
        <v>44851</v>
      </c>
      <c r="B325" s="63">
        <v>3677.95</v>
      </c>
      <c r="C325" s="6">
        <v>295.04000000000002</v>
      </c>
      <c r="D325" s="6">
        <f>(B324-Table21[[#This Row],[Index Close]])/Table21[[#This Row],[Index Close]]</f>
        <v>1.1427561549232643E-2</v>
      </c>
      <c r="E325" s="6">
        <f>(C324-Table21[[#This Row],[Stock Close]])/Table21[[#This Row],[Stock Close]]</f>
        <v>1.8099240780910977E-2</v>
      </c>
      <c r="F325" s="6"/>
      <c r="G325" s="6"/>
    </row>
    <row r="326" spans="1:7">
      <c r="A326" s="62">
        <v>44848</v>
      </c>
      <c r="B326" s="63">
        <v>3583.07</v>
      </c>
      <c r="C326" s="6">
        <v>288.69</v>
      </c>
      <c r="D326" s="6">
        <f>(B325-Table21[[#This Row],[Index Close]])/Table21[[#This Row],[Index Close]]</f>
        <v>2.6480085513260875E-2</v>
      </c>
      <c r="E326" s="6">
        <f>(C325-Table21[[#This Row],[Stock Close]])/Table21[[#This Row],[Stock Close]]</f>
        <v>2.1995912570577515E-2</v>
      </c>
      <c r="F326" s="6"/>
      <c r="G326" s="6"/>
    </row>
    <row r="327" spans="1:7">
      <c r="A327" s="62">
        <v>44847</v>
      </c>
      <c r="B327" s="63">
        <v>3669.91</v>
      </c>
      <c r="C327" s="6">
        <v>293.95999999999998</v>
      </c>
      <c r="D327" s="6">
        <f>(B326-Table21[[#This Row],[Index Close]])/Table21[[#This Row],[Index Close]]</f>
        <v>-2.3662705624933496E-2</v>
      </c>
      <c r="E327" s="6">
        <f>(C326-Table21[[#This Row],[Stock Close]])/Table21[[#This Row],[Stock Close]]</f>
        <v>-1.7927609198530352E-2</v>
      </c>
      <c r="F327" s="6"/>
      <c r="G327" s="6"/>
    </row>
    <row r="328" spans="1:7">
      <c r="A328" s="62">
        <v>44846</v>
      </c>
      <c r="B328" s="63">
        <v>3577.03</v>
      </c>
      <c r="C328" s="6">
        <v>283.38</v>
      </c>
      <c r="D328" s="6">
        <f>(B327-Table21[[#This Row],[Index Close]])/Table21[[#This Row],[Index Close]]</f>
        <v>2.59656754346482E-2</v>
      </c>
      <c r="E328" s="6">
        <f>(C327-Table21[[#This Row],[Stock Close]])/Table21[[#This Row],[Stock Close]]</f>
        <v>3.7335027171995147E-2</v>
      </c>
      <c r="F328" s="6"/>
      <c r="G328" s="6"/>
    </row>
    <row r="329" spans="1:7">
      <c r="A329" s="62">
        <v>44845</v>
      </c>
      <c r="B329" s="63">
        <v>3588.84</v>
      </c>
      <c r="C329" s="6">
        <v>286.05</v>
      </c>
      <c r="D329" s="6">
        <f>(B328-Table21[[#This Row],[Index Close]])/Table21[[#This Row],[Index Close]]</f>
        <v>-3.2907569019515904E-3</v>
      </c>
      <c r="E329" s="6">
        <f>(C328-Table21[[#This Row],[Stock Close]])/Table21[[#This Row],[Stock Close]]</f>
        <v>-9.334032511798691E-3</v>
      </c>
      <c r="F329" s="6"/>
      <c r="G329" s="6"/>
    </row>
    <row r="330" spans="1:7">
      <c r="A330" s="62">
        <v>44844</v>
      </c>
      <c r="B330" s="63">
        <v>3612.39</v>
      </c>
      <c r="C330" s="6">
        <v>291.77999999999997</v>
      </c>
      <c r="D330" s="6">
        <f>(B329-Table21[[#This Row],[Index Close]])/Table21[[#This Row],[Index Close]]</f>
        <v>-6.5192296512834244E-3</v>
      </c>
      <c r="E330" s="6">
        <f>(C329-Table21[[#This Row],[Stock Close]])/Table21[[#This Row],[Stock Close]]</f>
        <v>-1.963808348755899E-2</v>
      </c>
      <c r="F330" s="6"/>
      <c r="G330" s="6"/>
    </row>
    <row r="331" spans="1:7">
      <c r="A331" s="62">
        <v>44841</v>
      </c>
      <c r="B331" s="63">
        <v>3639.66</v>
      </c>
      <c r="C331" s="6">
        <v>294.97000000000003</v>
      </c>
      <c r="D331" s="6">
        <f>(B330-Table21[[#This Row],[Index Close]])/Table21[[#This Row],[Index Close]]</f>
        <v>-7.4924580867443613E-3</v>
      </c>
      <c r="E331" s="6">
        <f>(C330-Table21[[#This Row],[Stock Close]])/Table21[[#This Row],[Stock Close]]</f>
        <v>-1.0814659117876579E-2</v>
      </c>
      <c r="F331" s="6"/>
      <c r="G331" s="6"/>
    </row>
    <row r="332" spans="1:7">
      <c r="A332" s="62">
        <v>44840</v>
      </c>
      <c r="B332" s="63">
        <v>3744.52</v>
      </c>
      <c r="C332" s="6">
        <v>299.23</v>
      </c>
      <c r="D332" s="6">
        <f>(B331-Table21[[#This Row],[Index Close]])/Table21[[#This Row],[Index Close]]</f>
        <v>-2.8003589245083515E-2</v>
      </c>
      <c r="E332" s="6">
        <f>(C331-Table21[[#This Row],[Stock Close]])/Table21[[#This Row],[Stock Close]]</f>
        <v>-1.423654045383147E-2</v>
      </c>
      <c r="F332" s="6"/>
      <c r="G332" s="6"/>
    </row>
    <row r="333" spans="1:7">
      <c r="A333" s="62">
        <v>44839</v>
      </c>
      <c r="B333" s="63">
        <v>3783.28</v>
      </c>
      <c r="C333" s="6">
        <v>304.2</v>
      </c>
      <c r="D333" s="6">
        <f>(B332-Table21[[#This Row],[Index Close]])/Table21[[#This Row],[Index Close]]</f>
        <v>-1.024507834471681E-2</v>
      </c>
      <c r="E333" s="6">
        <f>(C332-Table21[[#This Row],[Stock Close]])/Table21[[#This Row],[Stock Close]]</f>
        <v>-1.6337935568704703E-2</v>
      </c>
      <c r="F333" s="6"/>
      <c r="G333" s="6"/>
    </row>
    <row r="334" spans="1:7">
      <c r="A334" s="62">
        <v>44838</v>
      </c>
      <c r="B334" s="63">
        <v>3790.93</v>
      </c>
      <c r="C334" s="6">
        <v>301.27</v>
      </c>
      <c r="D334" s="6">
        <f>(B333-Table21[[#This Row],[Index Close]])/Table21[[#This Row],[Index Close]]</f>
        <v>-2.0179744811958111E-3</v>
      </c>
      <c r="E334" s="6">
        <f>(C333-Table21[[#This Row],[Stock Close]])/Table21[[#This Row],[Stock Close]]</f>
        <v>9.7254954027948589E-3</v>
      </c>
      <c r="F334" s="6"/>
      <c r="G334" s="6"/>
    </row>
    <row r="335" spans="1:7">
      <c r="A335" s="62">
        <v>44837</v>
      </c>
      <c r="B335" s="63">
        <v>3678.43</v>
      </c>
      <c r="C335" s="6">
        <v>290.48</v>
      </c>
      <c r="D335" s="6">
        <f>(B334-Table21[[#This Row],[Index Close]])/Table21[[#This Row],[Index Close]]</f>
        <v>3.0583700111188741E-2</v>
      </c>
      <c r="E335" s="6">
        <f>(C334-Table21[[#This Row],[Stock Close]])/Table21[[#This Row],[Stock Close]]</f>
        <v>3.7145414486367268E-2</v>
      </c>
      <c r="F335" s="6"/>
      <c r="G335" s="6"/>
    </row>
    <row r="336" spans="1:7">
      <c r="A336" s="62">
        <v>44834</v>
      </c>
      <c r="B336" s="63">
        <v>3585.62</v>
      </c>
      <c r="C336" s="6">
        <v>284.33999999999997</v>
      </c>
      <c r="D336" s="6">
        <f>(B335-Table21[[#This Row],[Index Close]])/Table21[[#This Row],[Index Close]]</f>
        <v>2.5883947546031075E-2</v>
      </c>
      <c r="E336" s="6">
        <f>(C335-Table21[[#This Row],[Stock Close]])/Table21[[#This Row],[Stock Close]]</f>
        <v>2.1593866497854834E-2</v>
      </c>
      <c r="F336" s="6"/>
      <c r="G336" s="6"/>
    </row>
    <row r="337" spans="1:7">
      <c r="A337" s="62">
        <v>44833</v>
      </c>
      <c r="B337" s="63">
        <v>3640.47</v>
      </c>
      <c r="C337" s="6">
        <v>286.77</v>
      </c>
      <c r="D337" s="6">
        <f>(B336-Table21[[#This Row],[Index Close]])/Table21[[#This Row],[Index Close]]</f>
        <v>-1.5066735888497889E-2</v>
      </c>
      <c r="E337" s="6">
        <f>(C336-Table21[[#This Row],[Stock Close]])/Table21[[#This Row],[Stock Close]]</f>
        <v>-8.4736897164975657E-3</v>
      </c>
      <c r="F337" s="6"/>
      <c r="G337" s="6"/>
    </row>
    <row r="338" spans="1:7">
      <c r="A338" s="62">
        <v>44832</v>
      </c>
      <c r="B338" s="63">
        <v>3719.04</v>
      </c>
      <c r="C338" s="6">
        <v>290.18</v>
      </c>
      <c r="D338" s="6">
        <f>(B337-Table21[[#This Row],[Index Close]])/Table21[[#This Row],[Index Close]]</f>
        <v>-2.1126419721218422E-2</v>
      </c>
      <c r="E338" s="6">
        <f>(C337-Table21[[#This Row],[Stock Close]])/Table21[[#This Row],[Stock Close]]</f>
        <v>-1.1751326762699099E-2</v>
      </c>
      <c r="F338" s="6"/>
      <c r="G338" s="6"/>
    </row>
    <row r="339" spans="1:7">
      <c r="A339" s="62">
        <v>44831</v>
      </c>
      <c r="B339" s="63">
        <v>3647.29</v>
      </c>
      <c r="C339" s="6">
        <v>286.48</v>
      </c>
      <c r="D339" s="6">
        <f>(B338-Table21[[#This Row],[Index Close]])/Table21[[#This Row],[Index Close]]</f>
        <v>1.9672140136923578E-2</v>
      </c>
      <c r="E339" s="6">
        <f>(C338-Table21[[#This Row],[Stock Close]])/Table21[[#This Row],[Stock Close]]</f>
        <v>1.2915386763473849E-2</v>
      </c>
      <c r="F339" s="6"/>
      <c r="G339" s="6"/>
    </row>
    <row r="340" spans="1:7">
      <c r="A340" s="62">
        <v>44830</v>
      </c>
      <c r="B340" s="63">
        <v>3655.04</v>
      </c>
      <c r="C340" s="6">
        <v>290.11</v>
      </c>
      <c r="D340" s="6">
        <f>(B339-Table21[[#This Row],[Index Close]])/Table21[[#This Row],[Index Close]]</f>
        <v>-2.1203598319033444E-3</v>
      </c>
      <c r="E340" s="6">
        <f>(C339-Table21[[#This Row],[Stock Close]])/Table21[[#This Row],[Stock Close]]</f>
        <v>-1.2512495260418446E-2</v>
      </c>
      <c r="F340" s="6"/>
      <c r="G340" s="6"/>
    </row>
    <row r="341" spans="1:7">
      <c r="A341" s="62">
        <v>44827</v>
      </c>
      <c r="B341" s="63">
        <v>3693.23</v>
      </c>
      <c r="C341" s="6">
        <v>293.58</v>
      </c>
      <c r="D341" s="6">
        <f>(B340-Table21[[#This Row],[Index Close]])/Table21[[#This Row],[Index Close]]</f>
        <v>-1.0340542018774908E-2</v>
      </c>
      <c r="E341" s="6">
        <f>(C340-Table21[[#This Row],[Stock Close]])/Table21[[#This Row],[Stock Close]]</f>
        <v>-1.1819606240206998E-2</v>
      </c>
      <c r="F341" s="6"/>
      <c r="G341" s="6"/>
    </row>
    <row r="342" spans="1:7">
      <c r="A342" s="62">
        <v>44826</v>
      </c>
      <c r="B342" s="63">
        <v>3757.99</v>
      </c>
      <c r="C342" s="6">
        <v>298.36</v>
      </c>
      <c r="D342" s="6">
        <f>(B341-Table21[[#This Row],[Index Close]])/Table21[[#This Row],[Index Close]]</f>
        <v>-1.723261637204989E-2</v>
      </c>
      <c r="E342" s="6">
        <f>(C341-Table21[[#This Row],[Stock Close]])/Table21[[#This Row],[Stock Close]]</f>
        <v>-1.6020914331679948E-2</v>
      </c>
      <c r="F342" s="6"/>
      <c r="G342" s="6"/>
    </row>
    <row r="343" spans="1:7">
      <c r="A343" s="62">
        <v>44825</v>
      </c>
      <c r="B343" s="63">
        <v>3789.93</v>
      </c>
      <c r="C343" s="6">
        <v>304.5</v>
      </c>
      <c r="D343" s="6">
        <f>(B342-Table21[[#This Row],[Index Close]])/Table21[[#This Row],[Index Close]]</f>
        <v>-8.4275962880581059E-3</v>
      </c>
      <c r="E343" s="6">
        <f>(C342-Table21[[#This Row],[Stock Close]])/Table21[[#This Row],[Stock Close]]</f>
        <v>-2.016420361247943E-2</v>
      </c>
      <c r="F343" s="6"/>
      <c r="G343" s="6"/>
    </row>
    <row r="344" spans="1:7">
      <c r="A344" s="62">
        <v>44824</v>
      </c>
      <c r="B344" s="63">
        <v>3855.93</v>
      </c>
      <c r="C344" s="6">
        <v>313.27</v>
      </c>
      <c r="D344" s="6">
        <f>(B343-Table21[[#This Row],[Index Close]])/Table21[[#This Row],[Index Close]]</f>
        <v>-1.7116493297336829E-2</v>
      </c>
      <c r="E344" s="6">
        <f>(C343-Table21[[#This Row],[Stock Close]])/Table21[[#This Row],[Stock Close]]</f>
        <v>-2.799502027005453E-2</v>
      </c>
      <c r="F344" s="6"/>
      <c r="G344" s="6"/>
    </row>
    <row r="345" spans="1:7">
      <c r="A345" s="62">
        <v>44823</v>
      </c>
      <c r="B345" s="63">
        <v>3899.89</v>
      </c>
      <c r="C345" s="6">
        <v>314.02999999999997</v>
      </c>
      <c r="D345" s="6">
        <f>(B344-Table21[[#This Row],[Index Close]])/Table21[[#This Row],[Index Close]]</f>
        <v>-1.1272112803181638E-2</v>
      </c>
      <c r="E345" s="6">
        <f>(C344-Table21[[#This Row],[Stock Close]])/Table21[[#This Row],[Stock Close]]</f>
        <v>-2.4201509409928698E-3</v>
      </c>
      <c r="F345" s="6"/>
      <c r="G345" s="6"/>
    </row>
    <row r="346" spans="1:7">
      <c r="A346" s="62">
        <v>44820</v>
      </c>
      <c r="B346" s="63">
        <v>3873.33</v>
      </c>
      <c r="C346" s="6">
        <v>315.13</v>
      </c>
      <c r="D346" s="6">
        <f>(B345-Table21[[#This Row],[Index Close]])/Table21[[#This Row],[Index Close]]</f>
        <v>6.8571487583035644E-3</v>
      </c>
      <c r="E346" s="6">
        <f>(C345-Table21[[#This Row],[Stock Close]])/Table21[[#This Row],[Stock Close]]</f>
        <v>-3.4906229175261727E-3</v>
      </c>
      <c r="F346" s="6"/>
      <c r="G346" s="6"/>
    </row>
    <row r="347" spans="1:7">
      <c r="A347" s="62">
        <v>44819</v>
      </c>
      <c r="B347" s="63">
        <v>3901.35</v>
      </c>
      <c r="C347" s="6">
        <v>316.95999999999998</v>
      </c>
      <c r="D347" s="6">
        <f>(B346-Table21[[#This Row],[Index Close]])/Table21[[#This Row],[Index Close]]</f>
        <v>-7.182129262947437E-3</v>
      </c>
      <c r="E347" s="6">
        <f>(C346-Table21[[#This Row],[Stock Close]])/Table21[[#This Row],[Stock Close]]</f>
        <v>-5.7735991923270578E-3</v>
      </c>
      <c r="F347" s="6"/>
      <c r="G347" s="6"/>
    </row>
    <row r="348" spans="1:7">
      <c r="A348" s="62">
        <v>44818</v>
      </c>
      <c r="B348" s="63">
        <v>3946.01</v>
      </c>
      <c r="C348" s="6">
        <v>325.85000000000002</v>
      </c>
      <c r="D348" s="6">
        <f>(B347-Table21[[#This Row],[Index Close]])/Table21[[#This Row],[Index Close]]</f>
        <v>-1.1317761485652673E-2</v>
      </c>
      <c r="E348" s="6">
        <f>(C347-Table21[[#This Row],[Stock Close]])/Table21[[#This Row],[Stock Close]]</f>
        <v>-2.7282491944146212E-2</v>
      </c>
      <c r="F348" s="6"/>
      <c r="G348" s="6"/>
    </row>
    <row r="349" spans="1:7">
      <c r="A349" s="62">
        <v>44817</v>
      </c>
      <c r="B349" s="63">
        <v>3932.69</v>
      </c>
      <c r="C349" s="6">
        <v>325.44</v>
      </c>
      <c r="D349" s="6">
        <f>(B348-Table21[[#This Row],[Index Close]])/Table21[[#This Row],[Index Close]]</f>
        <v>3.386994652515241E-3</v>
      </c>
      <c r="E349" s="6">
        <f>(C348-Table21[[#This Row],[Stock Close]])/Table21[[#This Row],[Stock Close]]</f>
        <v>1.2598328416913256E-3</v>
      </c>
      <c r="F349" s="6"/>
      <c r="G349" s="6"/>
    </row>
    <row r="350" spans="1:7">
      <c r="A350" s="62">
        <v>44816</v>
      </c>
      <c r="B350" s="63">
        <v>4110.41</v>
      </c>
      <c r="C350" s="6">
        <v>338.42</v>
      </c>
      <c r="D350" s="6">
        <f>(B349-Table21[[#This Row],[Index Close]])/Table21[[#This Row],[Index Close]]</f>
        <v>-4.3236562775976074E-2</v>
      </c>
      <c r="E350" s="6">
        <f>(C349-Table21[[#This Row],[Stock Close]])/Table21[[#This Row],[Stock Close]]</f>
        <v>-3.8354707168607109E-2</v>
      </c>
      <c r="F350" s="6"/>
      <c r="G350" s="6"/>
    </row>
    <row r="351" spans="1:7">
      <c r="A351" s="62">
        <v>44813</v>
      </c>
      <c r="B351" s="63">
        <v>4067.36</v>
      </c>
      <c r="C351" s="6">
        <v>335.85</v>
      </c>
      <c r="D351" s="6">
        <f>(B350-Table21[[#This Row],[Index Close]])/Table21[[#This Row],[Index Close]]</f>
        <v>1.0584261044018658E-2</v>
      </c>
      <c r="E351" s="6">
        <f>(C350-Table21[[#This Row],[Stock Close]])/Table21[[#This Row],[Stock Close]]</f>
        <v>7.6522256959952149E-3</v>
      </c>
      <c r="F351" s="6"/>
      <c r="G351" s="6"/>
    </row>
    <row r="352" spans="1:7">
      <c r="A352" s="62">
        <v>44812</v>
      </c>
      <c r="B352" s="63">
        <v>4006.18</v>
      </c>
      <c r="C352" s="6">
        <v>330.07</v>
      </c>
      <c r="D352" s="6">
        <f>(B351-Table21[[#This Row],[Index Close]])/Table21[[#This Row],[Index Close]]</f>
        <v>1.5271405678227212E-2</v>
      </c>
      <c r="E352" s="6">
        <f>(C351-Table21[[#This Row],[Stock Close]])/Table21[[#This Row],[Stock Close]]</f>
        <v>1.7511436967915985E-2</v>
      </c>
      <c r="F352" s="6"/>
      <c r="G352" s="6"/>
    </row>
    <row r="353" spans="1:7">
      <c r="A353" s="62">
        <v>44811</v>
      </c>
      <c r="B353" s="63">
        <v>3979.87</v>
      </c>
      <c r="C353" s="6">
        <v>328.62</v>
      </c>
      <c r="D353" s="6">
        <f>(B352-Table21[[#This Row],[Index Close]])/Table21[[#This Row],[Index Close]]</f>
        <v>6.6107686934497728E-3</v>
      </c>
      <c r="E353" s="6">
        <f>(C352-Table21[[#This Row],[Stock Close]])/Table21[[#This Row],[Stock Close]]</f>
        <v>4.4123912117338829E-3</v>
      </c>
      <c r="F353" s="6"/>
      <c r="G353" s="6"/>
    </row>
    <row r="354" spans="1:7">
      <c r="A354" s="62">
        <v>44810</v>
      </c>
      <c r="B354" s="63">
        <v>3908.19</v>
      </c>
      <c r="C354" s="6">
        <v>324.08</v>
      </c>
      <c r="D354" s="6">
        <f>(B353-Table21[[#This Row],[Index Close]])/Table21[[#This Row],[Index Close]]</f>
        <v>1.8340971140092942E-2</v>
      </c>
      <c r="E354" s="6">
        <f>(C353-Table21[[#This Row],[Stock Close]])/Table21[[#This Row],[Stock Close]]</f>
        <v>1.4008886694643362E-2</v>
      </c>
      <c r="F354" s="6"/>
      <c r="G354" s="6"/>
    </row>
    <row r="355" spans="1:7">
      <c r="A355" s="62">
        <v>44806</v>
      </c>
      <c r="B355" s="63">
        <v>3924.26</v>
      </c>
      <c r="C355" s="6">
        <v>322.56</v>
      </c>
      <c r="D355" s="6">
        <f>(B354-Table21[[#This Row],[Index Close]])/Table21[[#This Row],[Index Close]]</f>
        <v>-4.0950395743401717E-3</v>
      </c>
      <c r="E355" s="6">
        <f>(C354-Table21[[#This Row],[Stock Close]])/Table21[[#This Row],[Stock Close]]</f>
        <v>4.7123015873015307E-3</v>
      </c>
      <c r="F355" s="6"/>
      <c r="G355" s="6"/>
    </row>
    <row r="356" spans="1:7">
      <c r="A356" s="62">
        <v>44805</v>
      </c>
      <c r="B356" s="63">
        <v>3966.85</v>
      </c>
      <c r="C356" s="6">
        <v>325.25</v>
      </c>
      <c r="D356" s="6">
        <f>(B355-Table21[[#This Row],[Index Close]])/Table21[[#This Row],[Index Close]]</f>
        <v>-1.0736478566116614E-2</v>
      </c>
      <c r="E356" s="6">
        <f>(C355-Table21[[#This Row],[Stock Close]])/Table21[[#This Row],[Stock Close]]</f>
        <v>-8.2705611068408843E-3</v>
      </c>
      <c r="F356" s="6"/>
      <c r="G356" s="6"/>
    </row>
    <row r="357" spans="1:7">
      <c r="A357" s="62">
        <v>44804</v>
      </c>
      <c r="B357" s="63">
        <v>3955</v>
      </c>
      <c r="C357" s="6">
        <v>324.37</v>
      </c>
      <c r="D357" s="6">
        <f>(B356-Table21[[#This Row],[Index Close]])/Table21[[#This Row],[Index Close]]</f>
        <v>2.9962073324904955E-3</v>
      </c>
      <c r="E357" s="6">
        <f>(C356-Table21[[#This Row],[Stock Close]])/Table21[[#This Row],[Stock Close]]</f>
        <v>2.7129512593642921E-3</v>
      </c>
      <c r="F357" s="6"/>
      <c r="G357" s="6"/>
    </row>
    <row r="358" spans="1:7">
      <c r="A358" s="62">
        <v>44803</v>
      </c>
      <c r="B358" s="63">
        <v>3986.16</v>
      </c>
      <c r="C358" s="6">
        <v>327.81</v>
      </c>
      <c r="D358" s="6">
        <f>(B357-Table21[[#This Row],[Index Close]])/Table21[[#This Row],[Index Close]]</f>
        <v>-7.8170469825596198E-3</v>
      </c>
      <c r="E358" s="6">
        <f>(C357-Table21[[#This Row],[Stock Close]])/Table21[[#This Row],[Stock Close]]</f>
        <v>-1.0493883652115548E-2</v>
      </c>
      <c r="F358" s="6"/>
      <c r="G358" s="6"/>
    </row>
    <row r="359" spans="1:7">
      <c r="A359" s="62">
        <v>44802</v>
      </c>
      <c r="B359" s="63">
        <v>4030.61</v>
      </c>
      <c r="C359" s="6">
        <v>329.35</v>
      </c>
      <c r="D359" s="6">
        <f>(B358-Table21[[#This Row],[Index Close]])/Table21[[#This Row],[Index Close]]</f>
        <v>-1.102810740805989E-2</v>
      </c>
      <c r="E359" s="6">
        <f>(C358-Table21[[#This Row],[Stock Close]])/Table21[[#This Row],[Stock Close]]</f>
        <v>-4.675876726886353E-3</v>
      </c>
      <c r="F359" s="6"/>
      <c r="G359" s="6"/>
    </row>
    <row r="360" spans="1:7">
      <c r="A360" s="62">
        <v>44799</v>
      </c>
      <c r="B360" s="63">
        <v>4057.66</v>
      </c>
      <c r="C360" s="6">
        <v>331.96</v>
      </c>
      <c r="D360" s="6">
        <f>(B359-Table21[[#This Row],[Index Close]])/Table21[[#This Row],[Index Close]]</f>
        <v>-6.6664037893760762E-3</v>
      </c>
      <c r="E360" s="6">
        <f>(C359-Table21[[#This Row],[Stock Close]])/Table21[[#This Row],[Stock Close]]</f>
        <v>-7.8623930594046171E-3</v>
      </c>
      <c r="F360" s="6"/>
      <c r="G360" s="6"/>
    </row>
    <row r="361" spans="1:7">
      <c r="A361" s="62">
        <v>44798</v>
      </c>
      <c r="B361" s="63">
        <v>4199.12</v>
      </c>
      <c r="C361" s="6">
        <v>344.67</v>
      </c>
      <c r="D361" s="6">
        <f>(B360-Table21[[#This Row],[Index Close]])/Table21[[#This Row],[Index Close]]</f>
        <v>-3.3688010821314951E-2</v>
      </c>
      <c r="E361" s="6">
        <f>(C360-Table21[[#This Row],[Stock Close]])/Table21[[#This Row],[Stock Close]]</f>
        <v>-3.6875852264484976E-2</v>
      </c>
      <c r="F361" s="6"/>
      <c r="G361" s="6"/>
    </row>
    <row r="362" spans="1:7">
      <c r="A362" s="62">
        <v>44797</v>
      </c>
      <c r="B362" s="63">
        <v>4140.7700000000004</v>
      </c>
      <c r="C362" s="6">
        <v>339.71</v>
      </c>
      <c r="D362" s="6">
        <f>(B361-Table21[[#This Row],[Index Close]])/Table21[[#This Row],[Index Close]]</f>
        <v>1.4091582000449059E-2</v>
      </c>
      <c r="E362" s="6">
        <f>(C361-Table21[[#This Row],[Stock Close]])/Table21[[#This Row],[Stock Close]]</f>
        <v>1.4600688822819572E-2</v>
      </c>
      <c r="F362" s="6"/>
      <c r="G362" s="6"/>
    </row>
    <row r="363" spans="1:7">
      <c r="A363" s="62">
        <v>44796</v>
      </c>
      <c r="B363" s="63">
        <v>4128.7299999999996</v>
      </c>
      <c r="C363" s="6">
        <v>340.89</v>
      </c>
      <c r="D363" s="6">
        <f>(B362-Table21[[#This Row],[Index Close]])/Table21[[#This Row],[Index Close]]</f>
        <v>2.9161509713642873E-3</v>
      </c>
      <c r="E363" s="6">
        <f>(C362-Table21[[#This Row],[Stock Close]])/Table21[[#This Row],[Stock Close]]</f>
        <v>-3.4615271788553696E-3</v>
      </c>
      <c r="F363" s="6"/>
      <c r="G363" s="6"/>
    </row>
    <row r="364" spans="1:7">
      <c r="A364" s="62">
        <v>44795</v>
      </c>
      <c r="B364" s="63">
        <v>4137.99</v>
      </c>
      <c r="C364" s="6">
        <v>345.51</v>
      </c>
      <c r="D364" s="6">
        <f>(B363-Table21[[#This Row],[Index Close]])/Table21[[#This Row],[Index Close]]</f>
        <v>-2.2378014446627998E-3</v>
      </c>
      <c r="E364" s="6">
        <f>(C363-Table21[[#This Row],[Stock Close]])/Table21[[#This Row],[Stock Close]]</f>
        <v>-1.3371537726838601E-2</v>
      </c>
      <c r="F364" s="6"/>
      <c r="G364" s="6"/>
    </row>
    <row r="365" spans="1:7">
      <c r="A365" s="62">
        <v>44792</v>
      </c>
      <c r="B365" s="63">
        <v>4228.4799999999996</v>
      </c>
      <c r="C365" s="6">
        <v>354.28</v>
      </c>
      <c r="D365" s="6">
        <f>(B364-Table21[[#This Row],[Index Close]])/Table21[[#This Row],[Index Close]]</f>
        <v>-2.1400124867564655E-2</v>
      </c>
      <c r="E365" s="6">
        <f>(C364-Table21[[#This Row],[Stock Close]])/Table21[[#This Row],[Stock Close]]</f>
        <v>-2.4754431523089034E-2</v>
      </c>
      <c r="F365" s="6"/>
      <c r="G365" s="6"/>
    </row>
    <row r="366" spans="1:7">
      <c r="A366" s="62">
        <v>44791</v>
      </c>
      <c r="B366" s="63">
        <v>4283.74</v>
      </c>
      <c r="C366" s="6">
        <v>357.36</v>
      </c>
      <c r="D366" s="6">
        <f>(B365-Table21[[#This Row],[Index Close]])/Table21[[#This Row],[Index Close]]</f>
        <v>-1.2899942573545597E-2</v>
      </c>
      <c r="E366" s="6">
        <f>(C365-Table21[[#This Row],[Stock Close]])/Table21[[#This Row],[Stock Close]]</f>
        <v>-8.6187597940453348E-3</v>
      </c>
      <c r="F366" s="6"/>
      <c r="G366" s="6"/>
    </row>
    <row r="367" spans="1:7">
      <c r="A367" s="62">
        <v>44790</v>
      </c>
      <c r="B367" s="63">
        <v>4274.04</v>
      </c>
      <c r="C367" s="6">
        <v>355.33</v>
      </c>
      <c r="D367" s="6">
        <f>(B366-Table21[[#This Row],[Index Close]])/Table21[[#This Row],[Index Close]]</f>
        <v>2.2695154935376874E-3</v>
      </c>
      <c r="E367" s="6">
        <f>(C366-Table21[[#This Row],[Stock Close]])/Table21[[#This Row],[Stock Close]]</f>
        <v>5.7129991838573433E-3</v>
      </c>
      <c r="F367" s="6"/>
      <c r="G367" s="6"/>
    </row>
    <row r="368" spans="1:7">
      <c r="A368" s="62">
        <v>44789</v>
      </c>
      <c r="B368" s="63">
        <v>4305.2</v>
      </c>
      <c r="C368" s="6">
        <v>359.25</v>
      </c>
      <c r="D368" s="6">
        <f>(B367-Table21[[#This Row],[Index Close]])/Table21[[#This Row],[Index Close]]</f>
        <v>-7.2377589891293916E-3</v>
      </c>
      <c r="E368" s="6">
        <f>(C367-Table21[[#This Row],[Stock Close]])/Table21[[#This Row],[Stock Close]]</f>
        <v>-1.0911621433542146E-2</v>
      </c>
      <c r="F368" s="6"/>
      <c r="G368" s="6"/>
    </row>
    <row r="369" spans="1:7">
      <c r="A369" s="62">
        <v>44788</v>
      </c>
      <c r="B369" s="63">
        <v>4297.1400000000003</v>
      </c>
      <c r="C369" s="6">
        <v>359.95</v>
      </c>
      <c r="D369" s="6">
        <f>(B368-Table21[[#This Row],[Index Close]])/Table21[[#This Row],[Index Close]]</f>
        <v>1.8756661407353472E-3</v>
      </c>
      <c r="E369" s="6">
        <f>(C368-Table21[[#This Row],[Stock Close]])/Table21[[#This Row],[Stock Close]]</f>
        <v>-1.9447145436865916E-3</v>
      </c>
      <c r="F369" s="6"/>
      <c r="G369" s="6"/>
    </row>
    <row r="370" spans="1:7">
      <c r="A370" s="62">
        <v>44785</v>
      </c>
      <c r="B370" s="63">
        <v>4280.1499999999996</v>
      </c>
      <c r="C370" s="6">
        <v>354.27</v>
      </c>
      <c r="D370" s="6">
        <f>(B369-Table21[[#This Row],[Index Close]])/Table21[[#This Row],[Index Close]]</f>
        <v>3.969487050687638E-3</v>
      </c>
      <c r="E370" s="6">
        <f>(C369-Table21[[#This Row],[Stock Close]])/Table21[[#This Row],[Stock Close]]</f>
        <v>1.603296920427924E-2</v>
      </c>
      <c r="F370" s="6"/>
      <c r="G370" s="6"/>
    </row>
    <row r="371" spans="1:7">
      <c r="A371" s="62">
        <v>44784</v>
      </c>
      <c r="B371" s="63">
        <v>4207.2700000000004</v>
      </c>
      <c r="C371" s="6">
        <v>350.58</v>
      </c>
      <c r="D371" s="6">
        <f>(B370-Table21[[#This Row],[Index Close]])/Table21[[#This Row],[Index Close]]</f>
        <v>1.7322396708554285E-2</v>
      </c>
      <c r="E371" s="6">
        <f>(C370-Table21[[#This Row],[Stock Close]])/Table21[[#This Row],[Stock Close]]</f>
        <v>1.0525415026527462E-2</v>
      </c>
      <c r="F371" s="6"/>
      <c r="G371" s="6"/>
    </row>
    <row r="372" spans="1:7">
      <c r="A372" s="62">
        <v>44783</v>
      </c>
      <c r="B372" s="63">
        <v>4210.24</v>
      </c>
      <c r="C372" s="6">
        <v>353.38</v>
      </c>
      <c r="D372" s="6">
        <f>(B371-Table21[[#This Row],[Index Close]])/Table21[[#This Row],[Index Close]]</f>
        <v>-7.0542296876172029E-4</v>
      </c>
      <c r="E372" s="6">
        <f>(C371-Table21[[#This Row],[Stock Close]])/Table21[[#This Row],[Stock Close]]</f>
        <v>-7.9234818042900317E-3</v>
      </c>
      <c r="F372" s="6"/>
      <c r="G372" s="6"/>
    </row>
    <row r="373" spans="1:7">
      <c r="A373" s="62">
        <v>44782</v>
      </c>
      <c r="B373" s="63">
        <v>4122.47</v>
      </c>
      <c r="C373" s="6">
        <v>346.54</v>
      </c>
      <c r="D373" s="6">
        <f>(B372-Table21[[#This Row],[Index Close]])/Table21[[#This Row],[Index Close]]</f>
        <v>2.1290634013103677E-2</v>
      </c>
      <c r="E373" s="6">
        <f>(C372-Table21[[#This Row],[Stock Close]])/Table21[[#This Row],[Stock Close]]</f>
        <v>1.9737981185433066E-2</v>
      </c>
      <c r="F373" s="6"/>
      <c r="G373" s="6"/>
    </row>
    <row r="374" spans="1:7">
      <c r="A374" s="62">
        <v>44781</v>
      </c>
      <c r="B374" s="63">
        <v>4140.0600000000004</v>
      </c>
      <c r="C374" s="6">
        <v>352.16</v>
      </c>
      <c r="D374" s="6">
        <f>(B373-Table21[[#This Row],[Index Close]])/Table21[[#This Row],[Index Close]]</f>
        <v>-4.248730694724266E-3</v>
      </c>
      <c r="E374" s="6">
        <f>(C373-Table21[[#This Row],[Stock Close]])/Table21[[#This Row],[Stock Close]]</f>
        <v>-1.5958655156746944E-2</v>
      </c>
      <c r="F374" s="6"/>
      <c r="G374" s="6"/>
    </row>
    <row r="375" spans="1:7">
      <c r="A375" s="62">
        <v>44778</v>
      </c>
      <c r="B375" s="63">
        <v>4145.1899999999996</v>
      </c>
      <c r="C375" s="6">
        <v>357.51</v>
      </c>
      <c r="D375" s="6">
        <f>(B374-Table21[[#This Row],[Index Close]])/Table21[[#This Row],[Index Close]]</f>
        <v>-1.2375789770792654E-3</v>
      </c>
      <c r="E375" s="6">
        <f>(C374-Table21[[#This Row],[Stock Close]])/Table21[[#This Row],[Stock Close]]</f>
        <v>-1.4964616374367055E-2</v>
      </c>
      <c r="F375" s="6"/>
      <c r="G375" s="6"/>
    </row>
    <row r="376" spans="1:7">
      <c r="A376" s="62">
        <v>44777</v>
      </c>
      <c r="B376" s="63">
        <v>4151.9399999999996</v>
      </c>
      <c r="C376" s="6">
        <v>356.07</v>
      </c>
      <c r="D376" s="6">
        <f>(B375-Table21[[#This Row],[Index Close]])/Table21[[#This Row],[Index Close]]</f>
        <v>-1.6257460367924393E-3</v>
      </c>
      <c r="E376" s="6">
        <f>(C375-Table21[[#This Row],[Stock Close]])/Table21[[#This Row],[Stock Close]]</f>
        <v>4.0441486224618694E-3</v>
      </c>
      <c r="F376" s="6"/>
      <c r="G376" s="6"/>
    </row>
    <row r="377" spans="1:7">
      <c r="A377" s="62">
        <v>44776</v>
      </c>
      <c r="B377" s="63">
        <v>4155.17</v>
      </c>
      <c r="C377" s="6">
        <v>354.13</v>
      </c>
      <c r="D377" s="6">
        <f>(B376-Table21[[#This Row],[Index Close]])/Table21[[#This Row],[Index Close]]</f>
        <v>-7.7734484990998507E-4</v>
      </c>
      <c r="E377" s="6">
        <f>(C376-Table21[[#This Row],[Stock Close]])/Table21[[#This Row],[Stock Close]]</f>
        <v>5.4782142151187357E-3</v>
      </c>
      <c r="F377" s="6"/>
      <c r="G377" s="6"/>
    </row>
    <row r="378" spans="1:7">
      <c r="A378" s="62">
        <v>44775</v>
      </c>
      <c r="B378" s="63">
        <v>4091.19</v>
      </c>
      <c r="C378" s="6">
        <v>349.01</v>
      </c>
      <c r="D378" s="6">
        <f>(B377-Table21[[#This Row],[Index Close]])/Table21[[#This Row],[Index Close]]</f>
        <v>1.5638481713144591E-2</v>
      </c>
      <c r="E378" s="6">
        <f>(C377-Table21[[#This Row],[Stock Close]])/Table21[[#This Row],[Stock Close]]</f>
        <v>1.4670066760264762E-2</v>
      </c>
      <c r="F378" s="6"/>
      <c r="G378" s="6"/>
    </row>
    <row r="379" spans="1:7">
      <c r="A379" s="62">
        <v>44774</v>
      </c>
      <c r="B379" s="63">
        <v>4118.63</v>
      </c>
      <c r="C379" s="6">
        <v>350.54</v>
      </c>
      <c r="D379" s="6">
        <f>(B378-Table21[[#This Row],[Index Close]])/Table21[[#This Row],[Index Close]]</f>
        <v>-6.6624095876541599E-3</v>
      </c>
      <c r="E379" s="6">
        <f>(C378-Table21[[#This Row],[Stock Close]])/Table21[[#This Row],[Stock Close]]</f>
        <v>-4.364694471387087E-3</v>
      </c>
      <c r="F379" s="6"/>
      <c r="G379" s="6"/>
    </row>
    <row r="380" spans="1:7">
      <c r="A380" s="62">
        <v>44771</v>
      </c>
      <c r="B380" s="63">
        <v>4130.29</v>
      </c>
      <c r="C380" s="6">
        <v>353.79</v>
      </c>
      <c r="D380" s="6">
        <f>(B379-Table21[[#This Row],[Index Close]])/Table21[[#This Row],[Index Close]]</f>
        <v>-2.8230463236237299E-3</v>
      </c>
      <c r="E380" s="6">
        <f>(C379-Table21[[#This Row],[Stock Close]])/Table21[[#This Row],[Stock Close]]</f>
        <v>-9.1862404251109413E-3</v>
      </c>
      <c r="F380" s="6"/>
      <c r="G380" s="6"/>
    </row>
    <row r="381" spans="1:7">
      <c r="A381" s="62">
        <v>44770</v>
      </c>
      <c r="B381" s="63">
        <v>4072.43</v>
      </c>
      <c r="C381" s="6">
        <v>352.45</v>
      </c>
      <c r="D381" s="6">
        <f>(B380-Table21[[#This Row],[Index Close]])/Table21[[#This Row],[Index Close]]</f>
        <v>1.4207733466259734E-2</v>
      </c>
      <c r="E381" s="6">
        <f>(C380-Table21[[#This Row],[Stock Close]])/Table21[[#This Row],[Stock Close]]</f>
        <v>3.8019577245000193E-3</v>
      </c>
      <c r="F381" s="6"/>
      <c r="G381" s="6"/>
    </row>
    <row r="382" spans="1:7">
      <c r="A382" s="62">
        <v>44769</v>
      </c>
      <c r="B382" s="63">
        <v>4023.61</v>
      </c>
      <c r="C382" s="6">
        <v>343.27</v>
      </c>
      <c r="D382" s="6">
        <f>(B381-Table21[[#This Row],[Index Close]])/Table21[[#This Row],[Index Close]]</f>
        <v>1.2133382708562635E-2</v>
      </c>
      <c r="E382" s="6">
        <f>(C381-Table21[[#This Row],[Stock Close]])/Table21[[#This Row],[Stock Close]]</f>
        <v>2.6742797215020268E-2</v>
      </c>
      <c r="F382" s="6"/>
      <c r="G382" s="6"/>
    </row>
    <row r="383" spans="1:7">
      <c r="A383" s="62">
        <v>44768</v>
      </c>
      <c r="B383" s="63">
        <v>3921.05</v>
      </c>
      <c r="C383" s="6">
        <v>341.28</v>
      </c>
      <c r="D383" s="6">
        <f>(B382-Table21[[#This Row],[Index Close]])/Table21[[#This Row],[Index Close]]</f>
        <v>2.6156259165274594E-2</v>
      </c>
      <c r="E383" s="6">
        <f>(C382-Table21[[#This Row],[Stock Close]])/Table21[[#This Row],[Stock Close]]</f>
        <v>5.8309892170651939E-3</v>
      </c>
      <c r="F383" s="6"/>
      <c r="G383" s="6"/>
    </row>
    <row r="384" spans="1:7">
      <c r="A384" s="62">
        <v>44767</v>
      </c>
      <c r="B384" s="63">
        <v>3966.84</v>
      </c>
      <c r="C384" s="6">
        <v>344.21</v>
      </c>
      <c r="D384" s="6">
        <f>(B383-Table21[[#This Row],[Index Close]])/Table21[[#This Row],[Index Close]]</f>
        <v>-1.154319307055489E-2</v>
      </c>
      <c r="E384" s="6">
        <f>(C383-Table21[[#This Row],[Stock Close]])/Table21[[#This Row],[Stock Close]]</f>
        <v>-8.5122454315679583E-3</v>
      </c>
      <c r="F384" s="6"/>
      <c r="G384" s="6"/>
    </row>
    <row r="385" spans="1:7">
      <c r="A385" s="62">
        <v>44764</v>
      </c>
      <c r="B385" s="63">
        <v>3961.63</v>
      </c>
      <c r="C385" s="6">
        <v>343.88</v>
      </c>
      <c r="D385" s="6">
        <f>(B384-Table21[[#This Row],[Index Close]])/Table21[[#This Row],[Index Close]]</f>
        <v>1.3151152429681813E-3</v>
      </c>
      <c r="E385" s="6">
        <f>(C384-Table21[[#This Row],[Stock Close]])/Table21[[#This Row],[Stock Close]]</f>
        <v>9.5963708270322236E-4</v>
      </c>
      <c r="F385" s="6"/>
      <c r="G385" s="6"/>
    </row>
    <row r="386" spans="1:7">
      <c r="A386" s="62">
        <v>44763</v>
      </c>
      <c r="B386" s="63">
        <v>3998.95</v>
      </c>
      <c r="C386" s="6">
        <v>346.92</v>
      </c>
      <c r="D386" s="6">
        <f>(B385-Table21[[#This Row],[Index Close]])/Table21[[#This Row],[Index Close]]</f>
        <v>-9.3324497680640443E-3</v>
      </c>
      <c r="E386" s="6">
        <f>(C385-Table21[[#This Row],[Stock Close]])/Table21[[#This Row],[Stock Close]]</f>
        <v>-8.762827164764269E-3</v>
      </c>
      <c r="F386" s="6"/>
      <c r="G386" s="6"/>
    </row>
    <row r="387" spans="1:7">
      <c r="A387" s="62">
        <v>44762</v>
      </c>
      <c r="B387" s="63">
        <v>3959.9</v>
      </c>
      <c r="C387" s="6">
        <v>341.27</v>
      </c>
      <c r="D387" s="6">
        <f>(B386-Table21[[#This Row],[Index Close]])/Table21[[#This Row],[Index Close]]</f>
        <v>9.861360135356885E-3</v>
      </c>
      <c r="E387" s="6">
        <f>(C386-Table21[[#This Row],[Stock Close]])/Table21[[#This Row],[Stock Close]]</f>
        <v>1.655580625311347E-2</v>
      </c>
      <c r="F387" s="6"/>
      <c r="G387" s="6"/>
    </row>
    <row r="388" spans="1:7">
      <c r="A388" s="62">
        <v>44761</v>
      </c>
      <c r="B388" s="63">
        <v>3936.69</v>
      </c>
      <c r="C388" s="6">
        <v>340.38</v>
      </c>
      <c r="D388" s="6">
        <f>(B387-Table21[[#This Row],[Index Close]])/Table21[[#This Row],[Index Close]]</f>
        <v>5.8958160281861252E-3</v>
      </c>
      <c r="E388" s="6">
        <f>(C387-Table21[[#This Row],[Stock Close]])/Table21[[#This Row],[Stock Close]]</f>
        <v>2.614724719431184E-3</v>
      </c>
      <c r="F388" s="6"/>
      <c r="G388" s="6"/>
    </row>
    <row r="389" spans="1:7">
      <c r="A389" s="62">
        <v>44760</v>
      </c>
      <c r="B389" s="63">
        <v>3830.85</v>
      </c>
      <c r="C389" s="6">
        <v>331.01</v>
      </c>
      <c r="D389" s="6">
        <f>(B388-Table21[[#This Row],[Index Close]])/Table21[[#This Row],[Index Close]]</f>
        <v>2.7628333137554369E-2</v>
      </c>
      <c r="E389" s="6">
        <f>(C388-Table21[[#This Row],[Stock Close]])/Table21[[#This Row],[Stock Close]]</f>
        <v>2.8307301894202608E-2</v>
      </c>
      <c r="F389" s="6"/>
      <c r="G389" s="6"/>
    </row>
    <row r="390" spans="1:7">
      <c r="A390" s="62">
        <v>44757</v>
      </c>
      <c r="B390" s="63">
        <v>3863.16</v>
      </c>
      <c r="C390" s="6">
        <v>332.57</v>
      </c>
      <c r="D390" s="6">
        <f>(B389-Table21[[#This Row],[Index Close]])/Table21[[#This Row],[Index Close]]</f>
        <v>-8.3636194203708745E-3</v>
      </c>
      <c r="E390" s="6">
        <f>(C389-Table21[[#This Row],[Stock Close]])/Table21[[#This Row],[Stock Close]]</f>
        <v>-4.6907417987190735E-3</v>
      </c>
      <c r="F390" s="6"/>
      <c r="G390" s="6"/>
    </row>
    <row r="391" spans="1:7">
      <c r="A391" s="62">
        <v>44756</v>
      </c>
      <c r="B391" s="63">
        <v>3790.38</v>
      </c>
      <c r="C391" s="6">
        <v>325.02999999999997</v>
      </c>
      <c r="D391" s="6">
        <f>(B390-Table21[[#This Row],[Index Close]])/Table21[[#This Row],[Index Close]]</f>
        <v>1.9201241036518699E-2</v>
      </c>
      <c r="E391" s="6">
        <f>(C390-Table21[[#This Row],[Stock Close]])/Table21[[#This Row],[Stock Close]]</f>
        <v>2.3197858659200755E-2</v>
      </c>
      <c r="F391" s="6"/>
      <c r="G391" s="6"/>
    </row>
    <row r="392" spans="1:7">
      <c r="A392" s="62">
        <v>44755</v>
      </c>
      <c r="B392" s="63">
        <v>3801.78</v>
      </c>
      <c r="C392" s="6">
        <v>323.37</v>
      </c>
      <c r="D392" s="6">
        <f>(B391-Table21[[#This Row],[Index Close]])/Table21[[#This Row],[Index Close]]</f>
        <v>-2.9985953947887808E-3</v>
      </c>
      <c r="E392" s="6">
        <f>(C391-Table21[[#This Row],[Stock Close]])/Table21[[#This Row],[Stock Close]]</f>
        <v>5.133438476049009E-3</v>
      </c>
      <c r="F392" s="6"/>
      <c r="G392" s="6"/>
    </row>
    <row r="393" spans="1:7">
      <c r="A393" s="62">
        <v>44754</v>
      </c>
      <c r="B393" s="63">
        <v>3818.8</v>
      </c>
      <c r="C393" s="6">
        <v>322.86</v>
      </c>
      <c r="D393" s="6">
        <f>(B392-Table21[[#This Row],[Index Close]])/Table21[[#This Row],[Index Close]]</f>
        <v>-4.4568974546978059E-3</v>
      </c>
      <c r="E393" s="6">
        <f>(C392-Table21[[#This Row],[Stock Close]])/Table21[[#This Row],[Stock Close]]</f>
        <v>1.579632038654497E-3</v>
      </c>
      <c r="F393" s="6"/>
      <c r="G393" s="6"/>
    </row>
    <row r="394" spans="1:7">
      <c r="A394" s="62">
        <v>44753</v>
      </c>
      <c r="B394" s="63">
        <v>3854.43</v>
      </c>
      <c r="C394" s="6">
        <v>324.19</v>
      </c>
      <c r="D394" s="6">
        <f>(B393-Table21[[#This Row],[Index Close]])/Table21[[#This Row],[Index Close]]</f>
        <v>-9.2439089567068686E-3</v>
      </c>
      <c r="E394" s="6">
        <f>(C393-Table21[[#This Row],[Stock Close]])/Table21[[#This Row],[Stock Close]]</f>
        <v>-4.1025324655294248E-3</v>
      </c>
      <c r="F394" s="6"/>
      <c r="G394" s="6"/>
    </row>
    <row r="395" spans="1:7">
      <c r="A395" s="62">
        <v>44750</v>
      </c>
      <c r="B395" s="63">
        <v>3899.38</v>
      </c>
      <c r="C395" s="6">
        <v>323.06</v>
      </c>
      <c r="D395" s="6">
        <f>(B394-Table21[[#This Row],[Index Close]])/Table21[[#This Row],[Index Close]]</f>
        <v>-1.152747359836699E-2</v>
      </c>
      <c r="E395" s="6">
        <f>(C394-Table21[[#This Row],[Stock Close]])/Table21[[#This Row],[Stock Close]]</f>
        <v>3.497802265832958E-3</v>
      </c>
      <c r="F395" s="6"/>
      <c r="G395" s="6"/>
    </row>
    <row r="396" spans="1:7">
      <c r="A396" s="62">
        <v>44749</v>
      </c>
      <c r="B396" s="63">
        <v>3902.62</v>
      </c>
      <c r="C396" s="6">
        <v>324.07</v>
      </c>
      <c r="D396" s="6">
        <f>(B395-Table21[[#This Row],[Index Close]])/Table21[[#This Row],[Index Close]]</f>
        <v>-8.3021149894168069E-4</v>
      </c>
      <c r="E396" s="6">
        <f>(C395-Table21[[#This Row],[Stock Close]])/Table21[[#This Row],[Stock Close]]</f>
        <v>-3.1166106088190543E-3</v>
      </c>
      <c r="F396" s="6"/>
      <c r="G396" s="6"/>
    </row>
    <row r="397" spans="1:7">
      <c r="A397" s="62">
        <v>44748</v>
      </c>
      <c r="B397" s="63">
        <v>3845.08</v>
      </c>
      <c r="C397" s="6">
        <v>320.17</v>
      </c>
      <c r="D397" s="6">
        <f>(B396-Table21[[#This Row],[Index Close]])/Table21[[#This Row],[Index Close]]</f>
        <v>1.4964578110208361E-2</v>
      </c>
      <c r="E397" s="6">
        <f>(C396-Table21[[#This Row],[Stock Close]])/Table21[[#This Row],[Stock Close]]</f>
        <v>1.2181028828434822E-2</v>
      </c>
      <c r="F397" s="6"/>
      <c r="G397" s="6"/>
    </row>
    <row r="398" spans="1:7">
      <c r="A398" s="62">
        <v>44747</v>
      </c>
      <c r="B398" s="63">
        <v>3831.39</v>
      </c>
      <c r="C398" s="6">
        <v>319.26</v>
      </c>
      <c r="D398" s="6">
        <f>(B397-Table21[[#This Row],[Index Close]])/Table21[[#This Row],[Index Close]]</f>
        <v>3.5731157621646595E-3</v>
      </c>
      <c r="E398" s="6">
        <f>(C397-Table21[[#This Row],[Stock Close]])/Table21[[#This Row],[Stock Close]]</f>
        <v>2.8503414145211584E-3</v>
      </c>
      <c r="F398" s="6"/>
      <c r="G398" s="6"/>
    </row>
    <row r="399" spans="1:7">
      <c r="A399" s="62">
        <v>44743</v>
      </c>
      <c r="B399" s="63">
        <v>3825.33</v>
      </c>
      <c r="C399" s="6">
        <v>318.24</v>
      </c>
      <c r="D399" s="6">
        <f>(B398-Table21[[#This Row],[Index Close]])/Table21[[#This Row],[Index Close]]</f>
        <v>1.5841770513916305E-3</v>
      </c>
      <c r="E399" s="6">
        <f>(C398-Table21[[#This Row],[Stock Close]])/Table21[[#This Row],[Stock Close]]</f>
        <v>3.2051282051281478E-3</v>
      </c>
      <c r="F399" s="6"/>
      <c r="G399" s="6"/>
    </row>
    <row r="400" spans="1:7">
      <c r="A400" s="62">
        <v>44742</v>
      </c>
      <c r="B400" s="63">
        <v>3785.38</v>
      </c>
      <c r="C400" s="6">
        <v>315.48</v>
      </c>
      <c r="D400" s="6">
        <f>(B399-Table21[[#This Row],[Index Close]])/Table21[[#This Row],[Index Close]]</f>
        <v>1.0553762105785897E-2</v>
      </c>
      <c r="E400" s="6">
        <f>(C399-Table21[[#This Row],[Stock Close]])/Table21[[#This Row],[Stock Close]]</f>
        <v>8.7485736021300584E-3</v>
      </c>
      <c r="F400" s="6"/>
      <c r="G400" s="6"/>
    </row>
    <row r="401" spans="1:7">
      <c r="A401" s="62">
        <v>44741</v>
      </c>
      <c r="B401" s="63">
        <v>3818.83</v>
      </c>
      <c r="C401" s="6">
        <v>322.58999999999997</v>
      </c>
      <c r="D401" s="6">
        <f>(B400-Table21[[#This Row],[Index Close]])/Table21[[#This Row],[Index Close]]</f>
        <v>-8.7592273026031054E-3</v>
      </c>
      <c r="E401" s="6">
        <f>(C400-Table21[[#This Row],[Stock Close]])/Table21[[#This Row],[Stock Close]]</f>
        <v>-2.204036082953581E-2</v>
      </c>
      <c r="F401" s="6"/>
      <c r="G401" s="6"/>
    </row>
    <row r="402" spans="1:7">
      <c r="A402" s="62">
        <v>44740</v>
      </c>
      <c r="B402" s="63">
        <v>3821.55</v>
      </c>
      <c r="C402" s="6">
        <v>318.29000000000002</v>
      </c>
      <c r="D402" s="6">
        <f>(B401-Table21[[#This Row],[Index Close]])/Table21[[#This Row],[Index Close]]</f>
        <v>-7.1175308448149426E-4</v>
      </c>
      <c r="E402" s="6">
        <f>(C401-Table21[[#This Row],[Stock Close]])/Table21[[#This Row],[Stock Close]]</f>
        <v>1.3509692418863156E-2</v>
      </c>
      <c r="F402" s="6"/>
      <c r="G402" s="6"/>
    </row>
    <row r="403" spans="1:7">
      <c r="A403" s="62">
        <v>44739</v>
      </c>
      <c r="B403" s="63">
        <v>3900.11</v>
      </c>
      <c r="C403" s="6">
        <v>328.83</v>
      </c>
      <c r="D403" s="6">
        <f>(B402-Table21[[#This Row],[Index Close]])/Table21[[#This Row],[Index Close]]</f>
        <v>-2.0143021607082864E-2</v>
      </c>
      <c r="E403" s="6">
        <f>(C402-Table21[[#This Row],[Stock Close]])/Table21[[#This Row],[Stock Close]]</f>
        <v>-3.2053036523431451E-2</v>
      </c>
      <c r="F403" s="6"/>
      <c r="G403" s="6"/>
    </row>
    <row r="404" spans="1:7">
      <c r="A404" s="62">
        <v>44736</v>
      </c>
      <c r="B404" s="63">
        <v>3911.74</v>
      </c>
      <c r="C404" s="6">
        <v>330.5</v>
      </c>
      <c r="D404" s="6">
        <f>(B403-Table21[[#This Row],[Index Close]])/Table21[[#This Row],[Index Close]]</f>
        <v>-2.9731014842498877E-3</v>
      </c>
      <c r="E404" s="6">
        <f>(C403-Table21[[#This Row],[Stock Close]])/Table21[[#This Row],[Stock Close]]</f>
        <v>-5.0529500756430132E-3</v>
      </c>
      <c r="F404" s="6"/>
      <c r="G404" s="6"/>
    </row>
    <row r="405" spans="1:7">
      <c r="A405" s="62">
        <v>44735</v>
      </c>
      <c r="B405" s="63">
        <v>3795.73</v>
      </c>
      <c r="C405" s="6">
        <v>316.76</v>
      </c>
      <c r="D405" s="6">
        <f>(B404-Table21[[#This Row],[Index Close]])/Table21[[#This Row],[Index Close]]</f>
        <v>3.0563290855777352E-2</v>
      </c>
      <c r="E405" s="6">
        <f>(C404-Table21[[#This Row],[Stock Close]])/Table21[[#This Row],[Stock Close]]</f>
        <v>4.3376688975880824E-2</v>
      </c>
      <c r="F405" s="6"/>
      <c r="G405" s="6"/>
    </row>
    <row r="406" spans="1:7">
      <c r="A406" s="62">
        <v>44734</v>
      </c>
      <c r="B406" s="63">
        <v>3759.89</v>
      </c>
      <c r="C406" s="6">
        <v>316.14999999999998</v>
      </c>
      <c r="D406" s="6">
        <f>(B405-Table21[[#This Row],[Index Close]])/Table21[[#This Row],[Index Close]]</f>
        <v>9.5321937609877273E-3</v>
      </c>
      <c r="E406" s="6">
        <f>(C405-Table21[[#This Row],[Stock Close]])/Table21[[#This Row],[Stock Close]]</f>
        <v>1.929463862090823E-3</v>
      </c>
      <c r="F406" s="6"/>
      <c r="G406" s="6"/>
    </row>
    <row r="407" spans="1:7">
      <c r="A407" s="62">
        <v>44733</v>
      </c>
      <c r="B407" s="63">
        <v>3764.79</v>
      </c>
      <c r="C407" s="6">
        <v>317.39999999999998</v>
      </c>
      <c r="D407" s="6">
        <f>(B406-Table21[[#This Row],[Index Close]])/Table21[[#This Row],[Index Close]]</f>
        <v>-1.3015334188626964E-3</v>
      </c>
      <c r="E407" s="6">
        <f>(C406-Table21[[#This Row],[Stock Close]])/Table21[[#This Row],[Stock Close]]</f>
        <v>-3.938248267170763E-3</v>
      </c>
      <c r="F407" s="6"/>
      <c r="G407" s="6"/>
    </row>
    <row r="408" spans="1:7">
      <c r="A408" s="62">
        <v>44729</v>
      </c>
      <c r="B408" s="63">
        <v>3674.84</v>
      </c>
      <c r="C408" s="6">
        <v>310.69</v>
      </c>
      <c r="D408" s="6">
        <f>(B407-Table21[[#This Row],[Index Close]])/Table21[[#This Row],[Index Close]]</f>
        <v>2.4477256152648771E-2</v>
      </c>
      <c r="E408" s="6">
        <f>(C407-Table21[[#This Row],[Stock Close]])/Table21[[#This Row],[Stock Close]]</f>
        <v>2.1597090347291448E-2</v>
      </c>
      <c r="F408" s="6"/>
      <c r="G408" s="6"/>
    </row>
    <row r="409" spans="1:7">
      <c r="A409" s="62">
        <v>44728</v>
      </c>
      <c r="B409" s="63">
        <v>3666.77</v>
      </c>
      <c r="C409" s="6">
        <v>308.77999999999997</v>
      </c>
      <c r="D409" s="6">
        <f>(B408-Table21[[#This Row],[Index Close]])/Table21[[#This Row],[Index Close]]</f>
        <v>2.2008470670372465E-3</v>
      </c>
      <c r="E409" s="6">
        <f>(C408-Table21[[#This Row],[Stock Close]])/Table21[[#This Row],[Stock Close]]</f>
        <v>6.1856337845716215E-3</v>
      </c>
      <c r="F409" s="6"/>
      <c r="G409" s="6"/>
    </row>
    <row r="410" spans="1:7">
      <c r="A410" s="62">
        <v>44727</v>
      </c>
      <c r="B410" s="63">
        <v>3789.99</v>
      </c>
      <c r="C410" s="6">
        <v>325.39</v>
      </c>
      <c r="D410" s="6">
        <f>(B409-Table21[[#This Row],[Index Close]])/Table21[[#This Row],[Index Close]]</f>
        <v>-3.2511959134456765E-2</v>
      </c>
      <c r="E410" s="6">
        <f>(C409-Table21[[#This Row],[Stock Close]])/Table21[[#This Row],[Stock Close]]</f>
        <v>-5.10464365837918E-2</v>
      </c>
      <c r="F410" s="6"/>
      <c r="G410" s="6"/>
    </row>
    <row r="411" spans="1:7">
      <c r="A411" s="62">
        <v>44726</v>
      </c>
      <c r="B411" s="63">
        <v>3735.48</v>
      </c>
      <c r="C411" s="6">
        <v>322.14</v>
      </c>
      <c r="D411" s="6">
        <f>(B410-Table21[[#This Row],[Index Close]])/Table21[[#This Row],[Index Close]]</f>
        <v>1.4592502168395966E-2</v>
      </c>
      <c r="E411" s="6">
        <f>(C410-Table21[[#This Row],[Stock Close]])/Table21[[#This Row],[Stock Close]]</f>
        <v>1.0088781275221954E-2</v>
      </c>
      <c r="F411" s="6"/>
      <c r="G411" s="6"/>
    </row>
    <row r="412" spans="1:7">
      <c r="A412" s="62">
        <v>44725</v>
      </c>
      <c r="B412" s="63">
        <v>3749.63</v>
      </c>
      <c r="C412" s="6">
        <v>319.74</v>
      </c>
      <c r="D412" s="6">
        <f>(B411-Table21[[#This Row],[Index Close]])/Table21[[#This Row],[Index Close]]</f>
        <v>-3.7737056722930238E-3</v>
      </c>
      <c r="E412" s="6">
        <f>(C411-Table21[[#This Row],[Stock Close]])/Table21[[#This Row],[Stock Close]]</f>
        <v>7.5060987051979019E-3</v>
      </c>
      <c r="F412" s="6"/>
      <c r="G412" s="6"/>
    </row>
    <row r="413" spans="1:7">
      <c r="A413" s="62">
        <v>44722</v>
      </c>
      <c r="B413" s="63">
        <v>3900.86</v>
      </c>
      <c r="C413" s="6">
        <v>334.75</v>
      </c>
      <c r="D413" s="6">
        <f>(B412-Table21[[#This Row],[Index Close]])/Table21[[#This Row],[Index Close]]</f>
        <v>-3.8768374153391821E-2</v>
      </c>
      <c r="E413" s="6">
        <f>(C412-Table21[[#This Row],[Stock Close]])/Table21[[#This Row],[Stock Close]]</f>
        <v>-4.4839432412247922E-2</v>
      </c>
      <c r="F413" s="6"/>
      <c r="G413" s="6"/>
    </row>
    <row r="414" spans="1:7">
      <c r="A414" s="62">
        <v>44721</v>
      </c>
      <c r="B414" s="63">
        <v>4017.82</v>
      </c>
      <c r="C414" s="6">
        <v>349</v>
      </c>
      <c r="D414" s="6">
        <f>(B413-Table21[[#This Row],[Index Close]])/Table21[[#This Row],[Index Close]]</f>
        <v>-2.9110313553120853E-2</v>
      </c>
      <c r="E414" s="6">
        <f>(C413-Table21[[#This Row],[Stock Close]])/Table21[[#This Row],[Stock Close]]</f>
        <v>-4.0830945558739257E-2</v>
      </c>
      <c r="F414" s="6"/>
      <c r="G414" s="6"/>
    </row>
    <row r="415" spans="1:7">
      <c r="A415" s="62">
        <v>44720</v>
      </c>
      <c r="B415" s="63">
        <v>4115.7700000000004</v>
      </c>
      <c r="C415" s="6">
        <v>362.33</v>
      </c>
      <c r="D415" s="6">
        <f>(B414-Table21[[#This Row],[Index Close]])/Table21[[#This Row],[Index Close]]</f>
        <v>-2.379870595295662E-2</v>
      </c>
      <c r="E415" s="6">
        <f>(C414-Table21[[#This Row],[Stock Close]])/Table21[[#This Row],[Stock Close]]</f>
        <v>-3.6789666878260109E-2</v>
      </c>
      <c r="F415" s="6"/>
      <c r="G415" s="6"/>
    </row>
    <row r="416" spans="1:7">
      <c r="A416" s="62">
        <v>44719</v>
      </c>
      <c r="B416" s="63">
        <v>4160.68</v>
      </c>
      <c r="C416" s="6">
        <v>364.02</v>
      </c>
      <c r="D416" s="6">
        <f>(B415-Table21[[#This Row],[Index Close]])/Table21[[#This Row],[Index Close]]</f>
        <v>-1.0793908688002887E-2</v>
      </c>
      <c r="E416" s="6">
        <f>(C415-Table21[[#This Row],[Stock Close]])/Table21[[#This Row],[Stock Close]]</f>
        <v>-4.6426020548321458E-3</v>
      </c>
      <c r="F416" s="6"/>
      <c r="G416" s="6"/>
    </row>
    <row r="417" spans="1:7">
      <c r="A417" s="62">
        <v>44718</v>
      </c>
      <c r="B417" s="63">
        <v>4121.43</v>
      </c>
      <c r="C417" s="6">
        <v>360.14</v>
      </c>
      <c r="D417" s="6">
        <f>(B416-Table21[[#This Row],[Index Close]])/Table21[[#This Row],[Index Close]]</f>
        <v>9.5233935794129705E-3</v>
      </c>
      <c r="E417" s="6">
        <f>(C416-Table21[[#This Row],[Stock Close]])/Table21[[#This Row],[Stock Close]]</f>
        <v>1.0773588049092007E-2</v>
      </c>
      <c r="F417" s="6"/>
      <c r="G417" s="6"/>
    </row>
    <row r="418" spans="1:7">
      <c r="A418" s="62">
        <v>44715</v>
      </c>
      <c r="B418" s="63">
        <v>4108.54</v>
      </c>
      <c r="C418" s="6">
        <v>357.82</v>
      </c>
      <c r="D418" s="6">
        <f>(B417-Table21[[#This Row],[Index Close]])/Table21[[#This Row],[Index Close]]</f>
        <v>3.1373675320187531E-3</v>
      </c>
      <c r="E418" s="6">
        <f>(C417-Table21[[#This Row],[Stock Close]])/Table21[[#This Row],[Stock Close]]</f>
        <v>6.4837068917332546E-3</v>
      </c>
      <c r="F418" s="6"/>
      <c r="G418" s="6"/>
    </row>
    <row r="419" spans="1:7">
      <c r="A419" s="62">
        <v>44714</v>
      </c>
      <c r="B419" s="63">
        <v>4176.82</v>
      </c>
      <c r="C419" s="6">
        <v>363.08</v>
      </c>
      <c r="D419" s="6">
        <f>(B418-Table21[[#This Row],[Index Close]])/Table21[[#This Row],[Index Close]]</f>
        <v>-1.6347364741597616E-2</v>
      </c>
      <c r="E419" s="6">
        <f>(C418-Table21[[#This Row],[Stock Close]])/Table21[[#This Row],[Stock Close]]</f>
        <v>-1.4487165363005374E-2</v>
      </c>
      <c r="F419" s="6"/>
      <c r="G419" s="6"/>
    </row>
    <row r="420" spans="1:7">
      <c r="A420" s="62">
        <v>44713</v>
      </c>
      <c r="B420" s="63">
        <v>4101.2299999999996</v>
      </c>
      <c r="C420" s="6">
        <v>357.06</v>
      </c>
      <c r="D420" s="6">
        <f>(B419-Table21[[#This Row],[Index Close]])/Table21[[#This Row],[Index Close]]</f>
        <v>1.8431056049038986E-2</v>
      </c>
      <c r="E420" s="6">
        <f>(C419-Table21[[#This Row],[Stock Close]])/Table21[[#This Row],[Stock Close]]</f>
        <v>1.6859911499467826E-2</v>
      </c>
      <c r="F420" s="6"/>
      <c r="G420" s="6"/>
    </row>
    <row r="421" spans="1:7">
      <c r="A421" s="62">
        <v>44712</v>
      </c>
      <c r="B421" s="63">
        <v>4132.1499999999996</v>
      </c>
      <c r="C421" s="6">
        <v>357.87</v>
      </c>
      <c r="D421" s="6">
        <f>(B420-Table21[[#This Row],[Index Close]])/Table21[[#This Row],[Index Close]]</f>
        <v>-7.482787410912013E-3</v>
      </c>
      <c r="E421" s="6">
        <f>(C420-Table21[[#This Row],[Stock Close]])/Table21[[#This Row],[Stock Close]]</f>
        <v>-2.2633917344287097E-3</v>
      </c>
      <c r="F421" s="6"/>
      <c r="G421" s="6"/>
    </row>
    <row r="422" spans="1:7">
      <c r="A422" s="62">
        <v>44708</v>
      </c>
      <c r="B422" s="63">
        <v>4158.24</v>
      </c>
      <c r="C422" s="6">
        <v>357.78</v>
      </c>
      <c r="D422" s="6">
        <f>(B421-Table21[[#This Row],[Index Close]])/Table21[[#This Row],[Index Close]]</f>
        <v>-6.2742891223210176E-3</v>
      </c>
      <c r="E422" s="6">
        <f>(C421-Table21[[#This Row],[Stock Close]])/Table21[[#This Row],[Stock Close]]</f>
        <v>2.5155123260112871E-4</v>
      </c>
      <c r="F422" s="6"/>
      <c r="G422" s="6"/>
    </row>
    <row r="423" spans="1:7">
      <c r="A423" s="62">
        <v>44707</v>
      </c>
      <c r="B423" s="63">
        <v>4057.84</v>
      </c>
      <c r="C423" s="6">
        <v>349.89</v>
      </c>
      <c r="D423" s="6">
        <f>(B422-Table21[[#This Row],[Index Close]])/Table21[[#This Row],[Index Close]]</f>
        <v>2.4742227391912848E-2</v>
      </c>
      <c r="E423" s="6">
        <f>(C422-Table21[[#This Row],[Stock Close]])/Table21[[#This Row],[Stock Close]]</f>
        <v>2.2549944268198539E-2</v>
      </c>
      <c r="F423" s="6"/>
      <c r="G423" s="6"/>
    </row>
    <row r="424" spans="1:7">
      <c r="A424" s="62">
        <v>44706</v>
      </c>
      <c r="B424" s="63">
        <v>3978.73</v>
      </c>
      <c r="C424" s="6">
        <v>344.76</v>
      </c>
      <c r="D424" s="6">
        <f>(B423-Table21[[#This Row],[Index Close]])/Table21[[#This Row],[Index Close]]</f>
        <v>1.9883229070582858E-2</v>
      </c>
      <c r="E424" s="6">
        <f>(C423-Table21[[#This Row],[Stock Close]])/Table21[[#This Row],[Stock Close]]</f>
        <v>1.4879916463626857E-2</v>
      </c>
      <c r="F424" s="6"/>
      <c r="G424" s="6"/>
    </row>
    <row r="425" spans="1:7">
      <c r="A425" s="62">
        <v>44705</v>
      </c>
      <c r="B425" s="63">
        <v>3941.48</v>
      </c>
      <c r="C425" s="6">
        <v>340.69</v>
      </c>
      <c r="D425" s="6">
        <f>(B424-Table21[[#This Row],[Index Close]])/Table21[[#This Row],[Index Close]]</f>
        <v>9.450764687376316E-3</v>
      </c>
      <c r="E425" s="6">
        <f>(C424-Table21[[#This Row],[Stock Close]])/Table21[[#This Row],[Stock Close]]</f>
        <v>1.1946344183862142E-2</v>
      </c>
      <c r="F425" s="6"/>
      <c r="G425" s="6"/>
    </row>
    <row r="426" spans="1:7">
      <c r="A426" s="62">
        <v>44704</v>
      </c>
      <c r="B426" s="63">
        <v>3973.75</v>
      </c>
      <c r="C426" s="6">
        <v>348.43</v>
      </c>
      <c r="D426" s="6">
        <f>(B425-Table21[[#This Row],[Index Close]])/Table21[[#This Row],[Index Close]]</f>
        <v>-8.1207927021075769E-3</v>
      </c>
      <c r="E426" s="6">
        <f>(C425-Table21[[#This Row],[Stock Close]])/Table21[[#This Row],[Stock Close]]</f>
        <v>-2.2213931062193291E-2</v>
      </c>
      <c r="F426" s="6"/>
      <c r="G426" s="6"/>
    </row>
    <row r="427" spans="1:7">
      <c r="A427" s="62">
        <v>44701</v>
      </c>
      <c r="B427" s="63">
        <v>3901.36</v>
      </c>
      <c r="C427" s="6">
        <v>336.18</v>
      </c>
      <c r="D427" s="6">
        <f>(B426-Table21[[#This Row],[Index Close]])/Table21[[#This Row],[Index Close]]</f>
        <v>1.8555067976295414E-2</v>
      </c>
      <c r="E427" s="6">
        <f>(C426-Table21[[#This Row],[Stock Close]])/Table21[[#This Row],[Stock Close]]</f>
        <v>3.6438812540900707E-2</v>
      </c>
      <c r="F427" s="6"/>
      <c r="G427" s="6"/>
    </row>
    <row r="428" spans="1:7">
      <c r="A428" s="62">
        <v>44700</v>
      </c>
      <c r="B428" s="63">
        <v>3900.79</v>
      </c>
      <c r="C428" s="6">
        <v>332.22</v>
      </c>
      <c r="D428" s="6">
        <f>(B427-Table21[[#This Row],[Index Close]])/Table21[[#This Row],[Index Close]]</f>
        <v>1.4612424662700728E-4</v>
      </c>
      <c r="E428" s="6">
        <f>(C427-Table21[[#This Row],[Stock Close]])/Table21[[#This Row],[Stock Close]]</f>
        <v>1.1919812172656611E-2</v>
      </c>
      <c r="F428" s="6"/>
      <c r="G428" s="6"/>
    </row>
    <row r="429" spans="1:7">
      <c r="A429" s="62">
        <v>44699</v>
      </c>
      <c r="B429" s="63">
        <v>3923.68</v>
      </c>
      <c r="C429" s="6">
        <v>335.9</v>
      </c>
      <c r="D429" s="6">
        <f>(B428-Table21[[#This Row],[Index Close]])/Table21[[#This Row],[Index Close]]</f>
        <v>-5.8338090771928074E-3</v>
      </c>
      <c r="E429" s="6">
        <f>(C428-Table21[[#This Row],[Stock Close]])/Table21[[#This Row],[Stock Close]]</f>
        <v>-1.0955641559987944E-2</v>
      </c>
      <c r="F429" s="6"/>
      <c r="G429" s="6"/>
    </row>
    <row r="430" spans="1:7">
      <c r="A430" s="62">
        <v>44698</v>
      </c>
      <c r="B430" s="63">
        <v>4088.85</v>
      </c>
      <c r="C430" s="6">
        <v>338.86</v>
      </c>
      <c r="D430" s="6">
        <f>(B429-Table21[[#This Row],[Index Close]])/Table21[[#This Row],[Index Close]]</f>
        <v>-4.0395221150201173E-2</v>
      </c>
      <c r="E430" s="6">
        <f>(C429-Table21[[#This Row],[Stock Close]])/Table21[[#This Row],[Stock Close]]</f>
        <v>-8.7351708670248378E-3</v>
      </c>
      <c r="F430" s="6"/>
      <c r="G430" s="6"/>
    </row>
    <row r="431" spans="1:7">
      <c r="A431" s="62">
        <v>44697</v>
      </c>
      <c r="B431" s="63">
        <v>4008.01</v>
      </c>
      <c r="C431" s="6">
        <v>329.73</v>
      </c>
      <c r="D431" s="6">
        <f>(B430-Table21[[#This Row],[Index Close]])/Table21[[#This Row],[Index Close]]</f>
        <v>2.0169610355263507E-2</v>
      </c>
      <c r="E431" s="6">
        <f>(C430-Table21[[#This Row],[Stock Close]])/Table21[[#This Row],[Stock Close]]</f>
        <v>2.7689321566129847E-2</v>
      </c>
      <c r="F431" s="6"/>
      <c r="G431" s="6"/>
    </row>
    <row r="432" spans="1:7">
      <c r="A432" s="62">
        <v>44694</v>
      </c>
      <c r="B432" s="63">
        <v>4023.89</v>
      </c>
      <c r="C432" s="6">
        <v>332.8</v>
      </c>
      <c r="D432" s="6">
        <f>(B431-Table21[[#This Row],[Index Close]])/Table21[[#This Row],[Index Close]]</f>
        <v>-3.9464299471406164E-3</v>
      </c>
      <c r="E432" s="6">
        <f>(C431-Table21[[#This Row],[Stock Close]])/Table21[[#This Row],[Stock Close]]</f>
        <v>-9.2247596153845948E-3</v>
      </c>
      <c r="F432" s="6"/>
      <c r="G432" s="6"/>
    </row>
    <row r="433" spans="1:7">
      <c r="A433" s="62">
        <v>44693</v>
      </c>
      <c r="B433" s="63">
        <v>3930.08</v>
      </c>
      <c r="C433" s="6">
        <v>321.24</v>
      </c>
      <c r="D433" s="6">
        <f>(B432-Table21[[#This Row],[Index Close]])/Table21[[#This Row],[Index Close]]</f>
        <v>2.386974310955501E-2</v>
      </c>
      <c r="E433" s="6">
        <f>(C432-Table21[[#This Row],[Stock Close]])/Table21[[#This Row],[Stock Close]]</f>
        <v>3.5985555970613876E-2</v>
      </c>
      <c r="F433" s="6"/>
      <c r="G433" s="6"/>
    </row>
    <row r="434" spans="1:7">
      <c r="A434" s="62">
        <v>44692</v>
      </c>
      <c r="B434" s="63">
        <v>3935.18</v>
      </c>
      <c r="C434" s="6">
        <v>325.87</v>
      </c>
      <c r="D434" s="6">
        <f>(B433-Table21[[#This Row],[Index Close]])/Table21[[#This Row],[Index Close]]</f>
        <v>-1.2960017076728153E-3</v>
      </c>
      <c r="E434" s="6">
        <f>(C433-Table21[[#This Row],[Stock Close]])/Table21[[#This Row],[Stock Close]]</f>
        <v>-1.4208119802375166E-2</v>
      </c>
      <c r="F434" s="6"/>
      <c r="G434" s="6"/>
    </row>
    <row r="435" spans="1:7">
      <c r="A435" s="62">
        <v>44691</v>
      </c>
      <c r="B435" s="63">
        <v>4001.05</v>
      </c>
      <c r="C435" s="6">
        <v>325.33</v>
      </c>
      <c r="D435" s="6">
        <f>(B434-Table21[[#This Row],[Index Close]])/Table21[[#This Row],[Index Close]]</f>
        <v>-1.6463178415665972E-2</v>
      </c>
      <c r="E435" s="6">
        <f>(C434-Table21[[#This Row],[Stock Close]])/Table21[[#This Row],[Stock Close]]</f>
        <v>1.6598530722651476E-3</v>
      </c>
      <c r="F435" s="6"/>
      <c r="G435" s="6"/>
    </row>
    <row r="436" spans="1:7">
      <c r="A436" s="62">
        <v>44690</v>
      </c>
      <c r="B436" s="63">
        <v>3991.24</v>
      </c>
      <c r="C436" s="6">
        <v>327.99</v>
      </c>
      <c r="D436" s="6">
        <f>(B435-Table21[[#This Row],[Index Close]])/Table21[[#This Row],[Index Close]]</f>
        <v>2.4578827632516214E-3</v>
      </c>
      <c r="E436" s="6">
        <f>(C435-Table21[[#This Row],[Stock Close]])/Table21[[#This Row],[Stock Close]]</f>
        <v>-8.1100033537608619E-3</v>
      </c>
      <c r="F436" s="6"/>
      <c r="G436" s="6"/>
    </row>
    <row r="437" spans="1:7">
      <c r="A437" s="62">
        <v>44687</v>
      </c>
      <c r="B437" s="63">
        <v>4123.34</v>
      </c>
      <c r="C437" s="6">
        <v>347.12</v>
      </c>
      <c r="D437" s="6">
        <f>(B436-Table21[[#This Row],[Index Close]])/Table21[[#This Row],[Index Close]]</f>
        <v>-3.2037134944001795E-2</v>
      </c>
      <c r="E437" s="6">
        <f>(C436-Table21[[#This Row],[Stock Close]])/Table21[[#This Row],[Stock Close]]</f>
        <v>-5.5110624567872767E-2</v>
      </c>
      <c r="F437" s="6"/>
      <c r="G437" s="6"/>
    </row>
    <row r="438" spans="1:7">
      <c r="A438" s="62">
        <v>44686</v>
      </c>
      <c r="B438" s="63">
        <v>4146.87</v>
      </c>
      <c r="C438" s="6">
        <v>353.37</v>
      </c>
      <c r="D438" s="6">
        <f>(B437-Table21[[#This Row],[Index Close]])/Table21[[#This Row],[Index Close]]</f>
        <v>-5.6741590645474167E-3</v>
      </c>
      <c r="E438" s="6">
        <f>(C437-Table21[[#This Row],[Stock Close]])/Table21[[#This Row],[Stock Close]]</f>
        <v>-1.768684381809435E-2</v>
      </c>
      <c r="F438" s="6"/>
      <c r="G438" s="6"/>
    </row>
    <row r="439" spans="1:7">
      <c r="A439" s="62">
        <v>44685</v>
      </c>
      <c r="B439" s="63">
        <v>4300.17</v>
      </c>
      <c r="C439" s="6">
        <v>368.52</v>
      </c>
      <c r="D439" s="6">
        <f>(B438-Table21[[#This Row],[Index Close]])/Table21[[#This Row],[Index Close]]</f>
        <v>-3.5649753381843084E-2</v>
      </c>
      <c r="E439" s="6">
        <f>(C438-Table21[[#This Row],[Stock Close]])/Table21[[#This Row],[Stock Close]]</f>
        <v>-4.1110387495929608E-2</v>
      </c>
      <c r="F439" s="6"/>
      <c r="G439" s="6"/>
    </row>
    <row r="440" spans="1:7">
      <c r="A440" s="62">
        <v>44684</v>
      </c>
      <c r="B440" s="63">
        <v>4175.4799999999996</v>
      </c>
      <c r="C440" s="6">
        <v>357.79</v>
      </c>
      <c r="D440" s="6">
        <f>(B439-Table21[[#This Row],[Index Close]])/Table21[[#This Row],[Index Close]]</f>
        <v>2.9862434977535643E-2</v>
      </c>
      <c r="E440" s="6">
        <f>(C439-Table21[[#This Row],[Stock Close]])/Table21[[#This Row],[Stock Close]]</f>
        <v>2.9989658738365971E-2</v>
      </c>
      <c r="F440" s="6"/>
      <c r="G440" s="6"/>
    </row>
    <row r="441" spans="1:7">
      <c r="A441" s="62">
        <v>44683</v>
      </c>
      <c r="B441" s="63">
        <v>4155.38</v>
      </c>
      <c r="C441" s="6">
        <v>359.04</v>
      </c>
      <c r="D441" s="6">
        <f>(B440-Table21[[#This Row],[Index Close]])/Table21[[#This Row],[Index Close]]</f>
        <v>4.8371027439125793E-3</v>
      </c>
      <c r="E441" s="6">
        <f>(C440-Table21[[#This Row],[Stock Close]])/Table21[[#This Row],[Stock Close]]</f>
        <v>-3.4815062388591799E-3</v>
      </c>
      <c r="F441" s="6"/>
      <c r="G441" s="6"/>
    </row>
    <row r="442" spans="1:7">
      <c r="A442" s="62">
        <v>44680</v>
      </c>
      <c r="B442" s="63">
        <v>4131.93</v>
      </c>
      <c r="C442" s="6">
        <v>363.38</v>
      </c>
      <c r="D442" s="6">
        <f>(B441-Table21[[#This Row],[Index Close]])/Table21[[#This Row],[Index Close]]</f>
        <v>5.6753139574000086E-3</v>
      </c>
      <c r="E442" s="6">
        <f>(C441-Table21[[#This Row],[Stock Close]])/Table21[[#This Row],[Stock Close]]</f>
        <v>-1.1943420111178313E-2</v>
      </c>
      <c r="F442" s="6"/>
      <c r="G442" s="6"/>
    </row>
    <row r="443" spans="1:7">
      <c r="A443" s="62">
        <v>44679</v>
      </c>
      <c r="B443" s="63">
        <v>4287.5</v>
      </c>
      <c r="C443" s="6">
        <v>378.83</v>
      </c>
      <c r="D443" s="6">
        <f>(B442-Table21[[#This Row],[Index Close]])/Table21[[#This Row],[Index Close]]</f>
        <v>-3.6284548104956203E-2</v>
      </c>
      <c r="E443" s="6">
        <f>(C442-Table21[[#This Row],[Stock Close]])/Table21[[#This Row],[Stock Close]]</f>
        <v>-4.0783464878705461E-2</v>
      </c>
      <c r="F443" s="6"/>
      <c r="G443" s="6"/>
    </row>
    <row r="444" spans="1:7">
      <c r="A444" s="62">
        <v>44678</v>
      </c>
      <c r="B444" s="63">
        <v>4183.96</v>
      </c>
      <c r="C444" s="6">
        <v>361.57</v>
      </c>
      <c r="D444" s="6">
        <f>(B443-Table21[[#This Row],[Index Close]])/Table21[[#This Row],[Index Close]]</f>
        <v>2.4746890505645359E-2</v>
      </c>
      <c r="E444" s="6">
        <f>(C443-Table21[[#This Row],[Stock Close]])/Table21[[#This Row],[Stock Close]]</f>
        <v>4.7736261304864872E-2</v>
      </c>
      <c r="F444" s="6"/>
      <c r="G444" s="6"/>
    </row>
    <row r="445" spans="1:7">
      <c r="A445" s="62">
        <v>44677</v>
      </c>
      <c r="B445" s="63">
        <v>4175.2</v>
      </c>
      <c r="C445" s="6">
        <v>344.11</v>
      </c>
      <c r="D445" s="6">
        <f>(B444-Table21[[#This Row],[Index Close]])/Table21[[#This Row],[Index Close]]</f>
        <v>2.0981030848822137E-3</v>
      </c>
      <c r="E445" s="6">
        <f>(C444-Table21[[#This Row],[Stock Close]])/Table21[[#This Row],[Stock Close]]</f>
        <v>5.0739589084885586E-2</v>
      </c>
      <c r="F445" s="6"/>
      <c r="G445" s="6"/>
    </row>
    <row r="446" spans="1:7">
      <c r="A446" s="62">
        <v>44676</v>
      </c>
      <c r="B446" s="63">
        <v>4296.12</v>
      </c>
      <c r="C446" s="6">
        <v>354.6</v>
      </c>
      <c r="D446" s="6">
        <f>(B445-Table21[[#This Row],[Index Close]])/Table21[[#This Row],[Index Close]]</f>
        <v>-2.8146327383778869E-2</v>
      </c>
      <c r="E446" s="6">
        <f>(C445-Table21[[#This Row],[Stock Close]])/Table21[[#This Row],[Stock Close]]</f>
        <v>-2.9582628313592804E-2</v>
      </c>
      <c r="F446" s="6"/>
      <c r="G446" s="6"/>
    </row>
    <row r="447" spans="1:7">
      <c r="A447" s="62">
        <v>44673</v>
      </c>
      <c r="B447" s="63">
        <v>4271.78</v>
      </c>
      <c r="C447" s="6">
        <v>351.18</v>
      </c>
      <c r="D447" s="6">
        <f>(B446-Table21[[#This Row],[Index Close]])/Table21[[#This Row],[Index Close]]</f>
        <v>5.6978589721381123E-3</v>
      </c>
      <c r="E447" s="6">
        <f>(C446-Table21[[#This Row],[Stock Close]])/Table21[[#This Row],[Stock Close]]</f>
        <v>9.7385955920041463E-3</v>
      </c>
      <c r="F447" s="6"/>
      <c r="G447" s="6"/>
    </row>
    <row r="448" spans="1:7">
      <c r="A448" s="62">
        <v>44672</v>
      </c>
      <c r="B448" s="63">
        <v>4393.66</v>
      </c>
      <c r="C448" s="6">
        <v>364.44</v>
      </c>
      <c r="D448" s="6">
        <f>(B447-Table21[[#This Row],[Index Close]])/Table21[[#This Row],[Index Close]]</f>
        <v>-2.7739970776072823E-2</v>
      </c>
      <c r="E448" s="6">
        <f>(C447-Table21[[#This Row],[Stock Close]])/Table21[[#This Row],[Stock Close]]</f>
        <v>-3.6384590055976267E-2</v>
      </c>
      <c r="F448" s="6"/>
      <c r="G448" s="6"/>
    </row>
    <row r="449" spans="1:7">
      <c r="A449" s="62">
        <v>44671</v>
      </c>
      <c r="B449" s="63">
        <v>4459.45</v>
      </c>
      <c r="C449" s="6">
        <v>365.29</v>
      </c>
      <c r="D449" s="6">
        <f>(B448-Table21[[#This Row],[Index Close]])/Table21[[#This Row],[Index Close]]</f>
        <v>-1.4752940385025051E-2</v>
      </c>
      <c r="E449" s="6">
        <f>(C448-Table21[[#This Row],[Stock Close]])/Table21[[#This Row],[Stock Close]]</f>
        <v>-2.3269183388541234E-3</v>
      </c>
      <c r="F449" s="6"/>
      <c r="G449" s="6"/>
    </row>
    <row r="450" spans="1:7">
      <c r="A450" s="62">
        <v>44670</v>
      </c>
      <c r="B450" s="63">
        <v>4462.21</v>
      </c>
      <c r="C450" s="6">
        <v>363.87</v>
      </c>
      <c r="D450" s="6">
        <f>(B449-Table21[[#This Row],[Index Close]])/Table21[[#This Row],[Index Close]]</f>
        <v>-6.1852759058856894E-4</v>
      </c>
      <c r="E450" s="6">
        <f>(C449-Table21[[#This Row],[Stock Close]])/Table21[[#This Row],[Stock Close]]</f>
        <v>3.9024926484733996E-3</v>
      </c>
      <c r="F450" s="6"/>
      <c r="G450" s="6"/>
    </row>
    <row r="451" spans="1:7">
      <c r="A451" s="62">
        <v>44669</v>
      </c>
      <c r="B451" s="63">
        <v>4391.6899999999996</v>
      </c>
      <c r="C451" s="6">
        <v>356.8</v>
      </c>
      <c r="D451" s="6">
        <f>(B450-Table21[[#This Row],[Index Close]])/Table21[[#This Row],[Index Close]]</f>
        <v>1.605759969396757E-2</v>
      </c>
      <c r="E451" s="6">
        <f>(C450-Table21[[#This Row],[Stock Close]])/Table21[[#This Row],[Stock Close]]</f>
        <v>1.9815022421524643E-2</v>
      </c>
      <c r="F451" s="6"/>
      <c r="G451" s="6"/>
    </row>
    <row r="452" spans="1:7">
      <c r="A452" s="62">
        <v>44665</v>
      </c>
      <c r="B452" s="63">
        <v>4392.59</v>
      </c>
      <c r="C452" s="6">
        <v>357.82</v>
      </c>
      <c r="D452" s="6">
        <f>(B451-Table21[[#This Row],[Index Close]])/Table21[[#This Row],[Index Close]]</f>
        <v>-2.0489050878878877E-4</v>
      </c>
      <c r="E452" s="6">
        <f>(C451-Table21[[#This Row],[Stock Close]])/Table21[[#This Row],[Stock Close]]</f>
        <v>-2.8505952713654401E-3</v>
      </c>
      <c r="F452" s="6"/>
      <c r="G452" s="6"/>
    </row>
    <row r="453" spans="1:7">
      <c r="A453" s="62">
        <v>44664</v>
      </c>
      <c r="B453" s="63">
        <v>4446.59</v>
      </c>
      <c r="C453" s="6">
        <v>355.14</v>
      </c>
      <c r="D453" s="6">
        <f>(B452-Table21[[#This Row],[Index Close]])/Table21[[#This Row],[Index Close]]</f>
        <v>-1.2144137417661623E-2</v>
      </c>
      <c r="E453" s="6">
        <f>(C452-Table21[[#This Row],[Stock Close]])/Table21[[#This Row],[Stock Close]]</f>
        <v>7.5463197612209466E-3</v>
      </c>
      <c r="F453" s="6"/>
      <c r="G453" s="6"/>
    </row>
    <row r="454" spans="1:7">
      <c r="A454" s="62">
        <v>44663</v>
      </c>
      <c r="B454" s="63">
        <v>4397.45</v>
      </c>
      <c r="C454" s="6">
        <v>345.8</v>
      </c>
      <c r="D454" s="6">
        <f>(B453-Table21[[#This Row],[Index Close]])/Table21[[#This Row],[Index Close]]</f>
        <v>1.1174658040455339E-2</v>
      </c>
      <c r="E454" s="6">
        <f>(C453-Table21[[#This Row],[Stock Close]])/Table21[[#This Row],[Stock Close]]</f>
        <v>2.7009832272990093E-2</v>
      </c>
      <c r="F454" s="6"/>
      <c r="G454" s="6"/>
    </row>
    <row r="455" spans="1:7">
      <c r="A455" s="62">
        <v>44662</v>
      </c>
      <c r="B455" s="63">
        <v>4412.53</v>
      </c>
      <c r="C455" s="6">
        <v>347.37</v>
      </c>
      <c r="D455" s="6">
        <f>(B454-Table21[[#This Row],[Index Close]])/Table21[[#This Row],[Index Close]]</f>
        <v>-3.4175405039738945E-3</v>
      </c>
      <c r="E455" s="6">
        <f>(C454-Table21[[#This Row],[Stock Close]])/Table21[[#This Row],[Stock Close]]</f>
        <v>-4.5196764257131967E-3</v>
      </c>
      <c r="F455" s="6"/>
      <c r="G455" s="6"/>
    </row>
    <row r="456" spans="1:7">
      <c r="A456" s="62">
        <v>44659</v>
      </c>
      <c r="B456" s="63">
        <v>4488.28</v>
      </c>
      <c r="C456" s="6">
        <v>352.27</v>
      </c>
      <c r="D456" s="6">
        <f>(B455-Table21[[#This Row],[Index Close]])/Table21[[#This Row],[Index Close]]</f>
        <v>-1.687728929567674E-2</v>
      </c>
      <c r="E456" s="6">
        <f>(C455-Table21[[#This Row],[Stock Close]])/Table21[[#This Row],[Stock Close]]</f>
        <v>-1.3909785108013675E-2</v>
      </c>
      <c r="F456" s="6"/>
      <c r="G456" s="6"/>
    </row>
    <row r="457" spans="1:7">
      <c r="A457" s="62">
        <v>44658</v>
      </c>
      <c r="B457" s="63">
        <v>4500.21</v>
      </c>
      <c r="C457" s="6">
        <v>349.55</v>
      </c>
      <c r="D457" s="6">
        <f>(B456-Table21[[#This Row],[Index Close]])/Table21[[#This Row],[Index Close]]</f>
        <v>-2.6509873983659189E-3</v>
      </c>
      <c r="E457" s="6">
        <f>(C456-Table21[[#This Row],[Stock Close]])/Table21[[#This Row],[Stock Close]]</f>
        <v>7.7814332713487923E-3</v>
      </c>
      <c r="F457" s="6"/>
      <c r="G457" s="6"/>
    </row>
    <row r="458" spans="1:7">
      <c r="A458" s="62">
        <v>44657</v>
      </c>
      <c r="B458" s="63">
        <v>4481.1499999999996</v>
      </c>
      <c r="C458" s="6">
        <v>353.55</v>
      </c>
      <c r="D458" s="6">
        <f>(B457-Table21[[#This Row],[Index Close]])/Table21[[#This Row],[Index Close]]</f>
        <v>4.253372460194459E-3</v>
      </c>
      <c r="E458" s="6">
        <f>(C457-Table21[[#This Row],[Stock Close]])/Table21[[#This Row],[Stock Close]]</f>
        <v>-1.131381699901004E-2</v>
      </c>
      <c r="F458" s="6"/>
      <c r="G458" s="6"/>
    </row>
    <row r="459" spans="1:7">
      <c r="A459" s="62">
        <v>44656</v>
      </c>
      <c r="B459" s="63">
        <v>4525.12</v>
      </c>
      <c r="C459" s="6">
        <v>363.32</v>
      </c>
      <c r="D459" s="6">
        <f>(B458-Table21[[#This Row],[Index Close]])/Table21[[#This Row],[Index Close]]</f>
        <v>-9.7168693868892441E-3</v>
      </c>
      <c r="E459" s="6">
        <f>(C458-Table21[[#This Row],[Stock Close]])/Table21[[#This Row],[Stock Close]]</f>
        <v>-2.6890895078718436E-2</v>
      </c>
      <c r="F459" s="6"/>
      <c r="G459" s="6"/>
    </row>
    <row r="460" spans="1:7">
      <c r="A460" s="62">
        <v>44655</v>
      </c>
      <c r="B460" s="63">
        <v>4582.6400000000003</v>
      </c>
      <c r="C460" s="6">
        <v>366.91</v>
      </c>
      <c r="D460" s="6">
        <f>(B459-Table21[[#This Row],[Index Close]])/Table21[[#This Row],[Index Close]]</f>
        <v>-1.2551716914267853E-2</v>
      </c>
      <c r="E460" s="6">
        <f>(C459-Table21[[#This Row],[Stock Close]])/Table21[[#This Row],[Stock Close]]</f>
        <v>-9.7844157967894897E-3</v>
      </c>
      <c r="F460" s="6"/>
      <c r="G460" s="6"/>
    </row>
    <row r="461" spans="1:7">
      <c r="A461" s="62">
        <v>44652</v>
      </c>
      <c r="B461" s="63">
        <v>4545.8599999999997</v>
      </c>
      <c r="C461" s="6">
        <v>363.97</v>
      </c>
      <c r="D461" s="6">
        <f>(B460-Table21[[#This Row],[Index Close]])/Table21[[#This Row],[Index Close]]</f>
        <v>8.0908782936563502E-3</v>
      </c>
      <c r="E461" s="6">
        <f>(C460-Table21[[#This Row],[Stock Close]])/Table21[[#This Row],[Stock Close]]</f>
        <v>8.07758881226474E-3</v>
      </c>
      <c r="F461" s="6"/>
      <c r="G461" s="6"/>
    </row>
    <row r="462" spans="1:7">
      <c r="A462" s="62">
        <v>44651</v>
      </c>
      <c r="B462" s="63">
        <v>4530.41</v>
      </c>
      <c r="C462" s="6">
        <v>357.38</v>
      </c>
      <c r="D462" s="6">
        <f>(B461-Table21[[#This Row],[Index Close]])/Table21[[#This Row],[Index Close]]</f>
        <v>3.4102873691343209E-3</v>
      </c>
      <c r="E462" s="6">
        <f>(C461-Table21[[#This Row],[Stock Close]])/Table21[[#This Row],[Stock Close]]</f>
        <v>1.8439756002014751E-2</v>
      </c>
      <c r="F462" s="6"/>
      <c r="G462" s="6"/>
    </row>
    <row r="463" spans="1:7">
      <c r="A463" s="62">
        <v>44650</v>
      </c>
      <c r="B463" s="63">
        <v>4602.45</v>
      </c>
      <c r="C463" s="6">
        <v>362.24</v>
      </c>
      <c r="D463" s="6">
        <f>(B462-Table21[[#This Row],[Index Close]])/Table21[[#This Row],[Index Close]]</f>
        <v>-1.565253289009114E-2</v>
      </c>
      <c r="E463" s="6">
        <f>(C462-Table21[[#This Row],[Stock Close]])/Table21[[#This Row],[Stock Close]]</f>
        <v>-1.3416519434629013E-2</v>
      </c>
      <c r="F463" s="6"/>
      <c r="G463" s="6"/>
    </row>
    <row r="464" spans="1:7">
      <c r="A464" s="62">
        <v>44649</v>
      </c>
      <c r="B464" s="63">
        <v>4631.6000000000004</v>
      </c>
      <c r="C464" s="6">
        <v>367.55</v>
      </c>
      <c r="D464" s="6">
        <f>(B463-Table21[[#This Row],[Index Close]])/Table21[[#This Row],[Index Close]]</f>
        <v>-6.2937213921756075E-3</v>
      </c>
      <c r="E464" s="6">
        <f>(C463-Table21[[#This Row],[Stock Close]])/Table21[[#This Row],[Stock Close]]</f>
        <v>-1.4447014011699094E-2</v>
      </c>
      <c r="F464" s="6"/>
      <c r="G464" s="6"/>
    </row>
    <row r="465" spans="1:7">
      <c r="A465" s="62">
        <v>44648</v>
      </c>
      <c r="B465" s="63">
        <v>4575.5200000000004</v>
      </c>
      <c r="C465" s="6">
        <v>350.49</v>
      </c>
      <c r="D465" s="6">
        <f>(B464-Table21[[#This Row],[Index Close]])/Table21[[#This Row],[Index Close]]</f>
        <v>1.2256530405287252E-2</v>
      </c>
      <c r="E465" s="6">
        <f>(C464-Table21[[#This Row],[Stock Close]])/Table21[[#This Row],[Stock Close]]</f>
        <v>4.8674712545293736E-2</v>
      </c>
      <c r="F465" s="6"/>
      <c r="G465" s="6"/>
    </row>
    <row r="466" spans="1:7">
      <c r="A466" s="62">
        <v>44645</v>
      </c>
      <c r="B466" s="63">
        <v>4543.0600000000004</v>
      </c>
      <c r="C466" s="6">
        <v>349.02</v>
      </c>
      <c r="D466" s="6">
        <f>(B465-Table21[[#This Row],[Index Close]])/Table21[[#This Row],[Index Close]]</f>
        <v>7.144963967017832E-3</v>
      </c>
      <c r="E466" s="6">
        <f>(C465-Table21[[#This Row],[Stock Close]])/Table21[[#This Row],[Stock Close]]</f>
        <v>4.211793020457359E-3</v>
      </c>
      <c r="F466" s="6"/>
      <c r="G466" s="6"/>
    </row>
    <row r="467" spans="1:7">
      <c r="A467" s="62">
        <v>44644</v>
      </c>
      <c r="B467" s="63">
        <v>4520.16</v>
      </c>
      <c r="C467" s="6">
        <v>349.35</v>
      </c>
      <c r="D467" s="6">
        <f>(B466-Table21[[#This Row],[Index Close]])/Table21[[#This Row],[Index Close]]</f>
        <v>5.0661923471736724E-3</v>
      </c>
      <c r="E467" s="6">
        <f>(C466-Table21[[#This Row],[Stock Close]])/Table21[[#This Row],[Stock Close]]</f>
        <v>-9.4461142121093715E-4</v>
      </c>
      <c r="F467" s="6"/>
      <c r="G467" s="6"/>
    </row>
    <row r="468" spans="1:7">
      <c r="A468" s="62">
        <v>44643</v>
      </c>
      <c r="B468" s="63">
        <v>4456.24</v>
      </c>
      <c r="C468" s="6">
        <v>342.18</v>
      </c>
      <c r="D468" s="6">
        <f>(B467-Table21[[#This Row],[Index Close]])/Table21[[#This Row],[Index Close]]</f>
        <v>1.4343931206577759E-2</v>
      </c>
      <c r="E468" s="6">
        <f>(C467-Table21[[#This Row],[Stock Close]])/Table21[[#This Row],[Stock Close]]</f>
        <v>2.0953883920743516E-2</v>
      </c>
      <c r="F468" s="6"/>
      <c r="G468" s="6"/>
    </row>
    <row r="469" spans="1:7">
      <c r="A469" s="62">
        <v>44642</v>
      </c>
      <c r="B469" s="63">
        <v>4511.6099999999997</v>
      </c>
      <c r="C469" s="6">
        <v>349.53</v>
      </c>
      <c r="D469" s="6">
        <f>(B468-Table21[[#This Row],[Index Close]])/Table21[[#This Row],[Index Close]]</f>
        <v>-1.2272780670315009E-2</v>
      </c>
      <c r="E469" s="6">
        <f>(C468-Table21[[#This Row],[Stock Close]])/Table21[[#This Row],[Stock Close]]</f>
        <v>-2.1028237919491793E-2</v>
      </c>
      <c r="F469" s="6"/>
      <c r="G469" s="6"/>
    </row>
    <row r="470" spans="1:7">
      <c r="A470" s="62">
        <v>44641</v>
      </c>
      <c r="B470" s="63">
        <v>4461.18</v>
      </c>
      <c r="C470" s="6">
        <v>345.58</v>
      </c>
      <c r="D470" s="6">
        <f>(B469-Table21[[#This Row],[Index Close]])/Table21[[#This Row],[Index Close]]</f>
        <v>1.1304184094790925E-2</v>
      </c>
      <c r="E470" s="6">
        <f>(C469-Table21[[#This Row],[Stock Close]])/Table21[[#This Row],[Stock Close]]</f>
        <v>1.1430059609931098E-2</v>
      </c>
      <c r="F470" s="6"/>
      <c r="G470" s="6"/>
    </row>
    <row r="471" spans="1:7">
      <c r="A471" s="62">
        <v>44638</v>
      </c>
      <c r="B471" s="63">
        <v>4463.12</v>
      </c>
      <c r="C471" s="6">
        <v>350.09</v>
      </c>
      <c r="D471" s="6">
        <f>(B470-Table21[[#This Row],[Index Close]])/Table21[[#This Row],[Index Close]]</f>
        <v>-4.3467350194473816E-4</v>
      </c>
      <c r="E471" s="6">
        <f>(C470-Table21[[#This Row],[Stock Close]])/Table21[[#This Row],[Stock Close]]</f>
        <v>-1.2882401668142453E-2</v>
      </c>
      <c r="F471" s="6"/>
      <c r="G471" s="6"/>
    </row>
    <row r="472" spans="1:7">
      <c r="A472" s="62">
        <v>44637</v>
      </c>
      <c r="B472" s="63">
        <v>4411.67</v>
      </c>
      <c r="C472" s="6">
        <v>346.44</v>
      </c>
      <c r="D472" s="6">
        <f>(B471-Table21[[#This Row],[Index Close]])/Table21[[#This Row],[Index Close]]</f>
        <v>1.1662250349640798E-2</v>
      </c>
      <c r="E472" s="6">
        <f>(C471-Table21[[#This Row],[Stock Close]])/Table21[[#This Row],[Stock Close]]</f>
        <v>1.0535734903590744E-2</v>
      </c>
      <c r="F472" s="6"/>
      <c r="G472" s="6"/>
    </row>
    <row r="473" spans="1:7">
      <c r="A473" s="62">
        <v>44636</v>
      </c>
      <c r="B473" s="63">
        <v>4357.8599999999997</v>
      </c>
      <c r="C473" s="6">
        <v>344.68</v>
      </c>
      <c r="D473" s="6">
        <f>(B472-Table21[[#This Row],[Index Close]])/Table21[[#This Row],[Index Close]]</f>
        <v>1.2347803738532307E-2</v>
      </c>
      <c r="E473" s="6">
        <f>(C472-Table21[[#This Row],[Stock Close]])/Table21[[#This Row],[Stock Close]]</f>
        <v>5.1061854473714481E-3</v>
      </c>
      <c r="F473" s="6"/>
      <c r="G473" s="6"/>
    </row>
    <row r="474" spans="1:7">
      <c r="A474" s="62">
        <v>44635</v>
      </c>
      <c r="B474" s="63">
        <v>4262.45</v>
      </c>
      <c r="C474" s="6">
        <v>335</v>
      </c>
      <c r="D474" s="6">
        <f>(B473-Table21[[#This Row],[Index Close]])/Table21[[#This Row],[Index Close]]</f>
        <v>2.2383840279651342E-2</v>
      </c>
      <c r="E474" s="6">
        <f>(C473-Table21[[#This Row],[Stock Close]])/Table21[[#This Row],[Stock Close]]</f>
        <v>2.8895522388059723E-2</v>
      </c>
      <c r="F474" s="6"/>
      <c r="G474" s="6"/>
    </row>
    <row r="475" spans="1:7">
      <c r="A475" s="62">
        <v>44634</v>
      </c>
      <c r="B475" s="63">
        <v>4173.1099999999997</v>
      </c>
      <c r="C475" s="6">
        <v>328.59</v>
      </c>
      <c r="D475" s="6">
        <f>(B474-Table21[[#This Row],[Index Close]])/Table21[[#This Row],[Index Close]]</f>
        <v>2.1408493905025305E-2</v>
      </c>
      <c r="E475" s="6">
        <f>(C474-Table21[[#This Row],[Stock Close]])/Table21[[#This Row],[Stock Close]]</f>
        <v>1.9507593049088608E-2</v>
      </c>
      <c r="F475" s="6"/>
      <c r="G475" s="6"/>
    </row>
    <row r="476" spans="1:7">
      <c r="A476" s="62">
        <v>44631</v>
      </c>
      <c r="B476" s="63">
        <v>4204.3100000000004</v>
      </c>
      <c r="C476" s="6">
        <v>324.79000000000002</v>
      </c>
      <c r="D476" s="6">
        <f>(B475-Table21[[#This Row],[Index Close]])/Table21[[#This Row],[Index Close]]</f>
        <v>-7.4209561140831017E-3</v>
      </c>
      <c r="E476" s="6">
        <f>(C475-Table21[[#This Row],[Stock Close]])/Table21[[#This Row],[Stock Close]]</f>
        <v>1.1699867606761151E-2</v>
      </c>
      <c r="F476" s="6"/>
      <c r="G476" s="6"/>
    </row>
    <row r="477" spans="1:7">
      <c r="A477" s="62">
        <v>44630</v>
      </c>
      <c r="B477" s="63">
        <v>4259.5200000000004</v>
      </c>
      <c r="C477" s="6">
        <v>324.58999999999997</v>
      </c>
      <c r="D477" s="6">
        <f>(B476-Table21[[#This Row],[Index Close]])/Table21[[#This Row],[Index Close]]</f>
        <v>-1.296155435354219E-2</v>
      </c>
      <c r="E477" s="6">
        <f>(C476-Table21[[#This Row],[Stock Close]])/Table21[[#This Row],[Stock Close]]</f>
        <v>6.1616192735464896E-4</v>
      </c>
      <c r="F477" s="6"/>
      <c r="G477" s="6"/>
    </row>
    <row r="478" spans="1:7">
      <c r="A478" s="62">
        <v>44629</v>
      </c>
      <c r="B478" s="63">
        <v>4277.88</v>
      </c>
      <c r="C478" s="6">
        <v>328.13</v>
      </c>
      <c r="D478" s="6">
        <f>(B477-Table21[[#This Row],[Index Close]])/Table21[[#This Row],[Index Close]]</f>
        <v>-4.2918454935621554E-3</v>
      </c>
      <c r="E478" s="6">
        <f>(C477-Table21[[#This Row],[Stock Close]])/Table21[[#This Row],[Stock Close]]</f>
        <v>-1.0788407033797643E-2</v>
      </c>
      <c r="F478" s="6"/>
      <c r="G478" s="6"/>
    </row>
    <row r="479" spans="1:7">
      <c r="A479" s="62">
        <v>44628</v>
      </c>
      <c r="B479" s="63">
        <v>4170.7</v>
      </c>
      <c r="C479" s="6">
        <v>314.33</v>
      </c>
      <c r="D479" s="6">
        <f>(B478-Table21[[#This Row],[Index Close]])/Table21[[#This Row],[Index Close]]</f>
        <v>2.5698324022346439E-2</v>
      </c>
      <c r="E479" s="6">
        <f>(C478-Table21[[#This Row],[Stock Close]])/Table21[[#This Row],[Stock Close]]</f>
        <v>4.3902904590716801E-2</v>
      </c>
      <c r="F479" s="6"/>
      <c r="G479" s="6"/>
    </row>
    <row r="480" spans="1:7">
      <c r="A480" s="62">
        <v>44627</v>
      </c>
      <c r="B480" s="63">
        <v>4201.09</v>
      </c>
      <c r="C480" s="6">
        <v>312.92</v>
      </c>
      <c r="D480" s="6">
        <f>(B479-Table21[[#This Row],[Index Close]])/Table21[[#This Row],[Index Close]]</f>
        <v>-7.2338369327960899E-3</v>
      </c>
      <c r="E480" s="6">
        <f>(C479-Table21[[#This Row],[Stock Close]])/Table21[[#This Row],[Stock Close]]</f>
        <v>4.5059440112487793E-3</v>
      </c>
      <c r="F480" s="6"/>
      <c r="G480" s="6"/>
    </row>
    <row r="481" spans="1:7">
      <c r="A481" s="62">
        <v>44624</v>
      </c>
      <c r="B481" s="63">
        <v>4328.87</v>
      </c>
      <c r="C481" s="6">
        <v>330.76</v>
      </c>
      <c r="D481" s="6">
        <f>(B480-Table21[[#This Row],[Index Close]])/Table21[[#This Row],[Index Close]]</f>
        <v>-2.9518095946517161E-2</v>
      </c>
      <c r="E481" s="6">
        <f>(C480-Table21[[#This Row],[Stock Close]])/Table21[[#This Row],[Stock Close]]</f>
        <v>-5.3936388922481482E-2</v>
      </c>
      <c r="F481" s="6"/>
      <c r="G481" s="6"/>
    </row>
    <row r="482" spans="1:7">
      <c r="A482" s="62">
        <v>44623</v>
      </c>
      <c r="B482" s="63">
        <v>4363.49</v>
      </c>
      <c r="C482" s="6">
        <v>340.99</v>
      </c>
      <c r="D482" s="6">
        <f>(B481-Table21[[#This Row],[Index Close]])/Table21[[#This Row],[Index Close]]</f>
        <v>-7.9340161201240048E-3</v>
      </c>
      <c r="E482" s="6">
        <f>(C481-Table21[[#This Row],[Stock Close]])/Table21[[#This Row],[Stock Close]]</f>
        <v>-3.0000879791196276E-2</v>
      </c>
      <c r="F482" s="6"/>
      <c r="G482" s="6"/>
    </row>
    <row r="483" spans="1:7">
      <c r="A483" s="62">
        <v>44622</v>
      </c>
      <c r="B483" s="63">
        <v>4386.54</v>
      </c>
      <c r="C483" s="6">
        <v>344.09</v>
      </c>
      <c r="D483" s="6">
        <f>(B482-Table21[[#This Row],[Index Close]])/Table21[[#This Row],[Index Close]]</f>
        <v>-5.2547110022934211E-3</v>
      </c>
      <c r="E483" s="6">
        <f>(C482-Table21[[#This Row],[Stock Close]])/Table21[[#This Row],[Stock Close]]</f>
        <v>-9.0092708303059262E-3</v>
      </c>
      <c r="F483" s="6"/>
      <c r="G483" s="6"/>
    </row>
    <row r="484" spans="1:7">
      <c r="A484" s="62">
        <v>44621</v>
      </c>
      <c r="B484" s="63">
        <v>4306.26</v>
      </c>
      <c r="C484" s="6">
        <v>344.48</v>
      </c>
      <c r="D484" s="6">
        <f>(B483-Table21[[#This Row],[Index Close]])/Table21[[#This Row],[Index Close]]</f>
        <v>1.864262724498747E-2</v>
      </c>
      <c r="E484" s="6">
        <f>(C483-Table21[[#This Row],[Stock Close]])/Table21[[#This Row],[Stock Close]]</f>
        <v>-1.1321411983280399E-3</v>
      </c>
      <c r="F484" s="6"/>
      <c r="G484" s="6"/>
    </row>
    <row r="485" spans="1:7">
      <c r="A485" s="62">
        <v>44620</v>
      </c>
      <c r="B485" s="63">
        <v>4373.9399999999996</v>
      </c>
      <c r="C485" s="6">
        <v>360.82</v>
      </c>
      <c r="D485" s="6">
        <f>(B484-Table21[[#This Row],[Index Close]])/Table21[[#This Row],[Index Close]]</f>
        <v>-1.5473463284818582E-2</v>
      </c>
      <c r="E485" s="6">
        <f>(C484-Table21[[#This Row],[Stock Close]])/Table21[[#This Row],[Stock Close]]</f>
        <v>-4.5285738041128475E-2</v>
      </c>
      <c r="F485" s="6"/>
      <c r="G485" s="6"/>
    </row>
    <row r="486" spans="1:7">
      <c r="A486" s="62">
        <v>44617</v>
      </c>
      <c r="B486" s="63">
        <v>4384.6499999999996</v>
      </c>
      <c r="C486" s="6">
        <v>369.09</v>
      </c>
      <c r="D486" s="6">
        <f>(B485-Table21[[#This Row],[Index Close]])/Table21[[#This Row],[Index Close]]</f>
        <v>-2.4426122951660993E-3</v>
      </c>
      <c r="E486" s="6">
        <f>(C485-Table21[[#This Row],[Stock Close]])/Table21[[#This Row],[Stock Close]]</f>
        <v>-2.2406459129209629E-2</v>
      </c>
      <c r="F486" s="6"/>
      <c r="G486" s="6"/>
    </row>
    <row r="487" spans="1:7">
      <c r="A487" s="62">
        <v>44616</v>
      </c>
      <c r="B487" s="63">
        <v>4288.7</v>
      </c>
      <c r="C487" s="6">
        <v>369.38</v>
      </c>
      <c r="D487" s="6">
        <f>(B486-Table21[[#This Row],[Index Close]])/Table21[[#This Row],[Index Close]]</f>
        <v>2.2372746986266193E-2</v>
      </c>
      <c r="E487" s="6">
        <f>(C486-Table21[[#This Row],[Stock Close]])/Table21[[#This Row],[Stock Close]]</f>
        <v>-7.850993556771359E-4</v>
      </c>
      <c r="F487" s="6"/>
      <c r="G487" s="6"/>
    </row>
    <row r="488" spans="1:7">
      <c r="A488" s="62">
        <v>44615</v>
      </c>
      <c r="B488" s="63">
        <v>4225.5</v>
      </c>
      <c r="C488" s="6">
        <v>361.23</v>
      </c>
      <c r="D488" s="6">
        <f>(B487-Table21[[#This Row],[Index Close]])/Table21[[#This Row],[Index Close]]</f>
        <v>1.4956809844988716E-2</v>
      </c>
      <c r="E488" s="6">
        <f>(C487-Table21[[#This Row],[Stock Close]])/Table21[[#This Row],[Stock Close]]</f>
        <v>2.2561802729562819E-2</v>
      </c>
      <c r="F488" s="6"/>
      <c r="G488" s="6"/>
    </row>
    <row r="489" spans="1:7">
      <c r="A489" s="62">
        <v>44614</v>
      </c>
      <c r="B489" s="63">
        <v>4304.76</v>
      </c>
      <c r="C489" s="6">
        <v>368.29</v>
      </c>
      <c r="D489" s="6">
        <f>(B488-Table21[[#This Row],[Index Close]])/Table21[[#This Row],[Index Close]]</f>
        <v>-1.8412176288573629E-2</v>
      </c>
      <c r="E489" s="6">
        <f>(C488-Table21[[#This Row],[Stock Close]])/Table21[[#This Row],[Stock Close]]</f>
        <v>-1.9169676070487935E-2</v>
      </c>
      <c r="F489" s="6"/>
      <c r="G489" s="6"/>
    </row>
    <row r="490" spans="1:7">
      <c r="A490" s="62">
        <v>44610</v>
      </c>
      <c r="B490" s="63">
        <v>4348.87</v>
      </c>
      <c r="C490" s="6">
        <v>369.95</v>
      </c>
      <c r="D490" s="6">
        <f>(B489-Table21[[#This Row],[Index Close]])/Table21[[#This Row],[Index Close]]</f>
        <v>-1.0142864698185891E-2</v>
      </c>
      <c r="E490" s="6">
        <f>(C489-Table21[[#This Row],[Stock Close]])/Table21[[#This Row],[Stock Close]]</f>
        <v>-4.4870928503851016E-3</v>
      </c>
      <c r="F490" s="6"/>
      <c r="G490" s="6"/>
    </row>
    <row r="491" spans="1:7">
      <c r="A491" s="62">
        <v>44609</v>
      </c>
      <c r="B491" s="63">
        <v>4380.26</v>
      </c>
      <c r="C491" s="6">
        <v>373.7</v>
      </c>
      <c r="D491" s="6">
        <f>(B490-Table21[[#This Row],[Index Close]])/Table21[[#This Row],[Index Close]]</f>
        <v>-7.1662412733491448E-3</v>
      </c>
      <c r="E491" s="6">
        <f>(C490-Table21[[#This Row],[Stock Close]])/Table21[[#This Row],[Stock Close]]</f>
        <v>-1.0034787262510034E-2</v>
      </c>
      <c r="F491" s="6"/>
      <c r="G491" s="6"/>
    </row>
    <row r="492" spans="1:7">
      <c r="A492" s="62">
        <v>44608</v>
      </c>
      <c r="B492" s="63">
        <v>4475.01</v>
      </c>
      <c r="C492" s="6">
        <v>382.93</v>
      </c>
      <c r="D492" s="6">
        <f>(B491-Table21[[#This Row],[Index Close]])/Table21[[#This Row],[Index Close]]</f>
        <v>-2.1173137043269175E-2</v>
      </c>
      <c r="E492" s="6">
        <f>(C491-Table21[[#This Row],[Stock Close]])/Table21[[#This Row],[Stock Close]]</f>
        <v>-2.4103622071919198E-2</v>
      </c>
      <c r="F492" s="6"/>
      <c r="G492" s="6"/>
    </row>
    <row r="493" spans="1:7">
      <c r="A493" s="62">
        <v>44607</v>
      </c>
      <c r="B493" s="63">
        <v>4471.07</v>
      </c>
      <c r="C493" s="6">
        <v>381.54</v>
      </c>
      <c r="D493" s="6">
        <f>(B492-Table21[[#This Row],[Index Close]])/Table21[[#This Row],[Index Close]]</f>
        <v>8.812208263347497E-4</v>
      </c>
      <c r="E493" s="6">
        <f>(C492-Table21[[#This Row],[Stock Close]])/Table21[[#This Row],[Stock Close]]</f>
        <v>3.6431304712480636E-3</v>
      </c>
      <c r="F493" s="6"/>
      <c r="G493" s="6"/>
    </row>
    <row r="494" spans="1:7">
      <c r="A494" s="62">
        <v>44606</v>
      </c>
      <c r="B494" s="63">
        <v>4401.67</v>
      </c>
      <c r="C494" s="6">
        <v>374.16</v>
      </c>
      <c r="D494" s="6">
        <f>(B493-Table21[[#This Row],[Index Close]])/Table21[[#This Row],[Index Close]]</f>
        <v>1.5766743077059307E-2</v>
      </c>
      <c r="E494" s="6">
        <f>(C493-Table21[[#This Row],[Stock Close]])/Table21[[#This Row],[Stock Close]]</f>
        <v>1.9724182168056433E-2</v>
      </c>
      <c r="F494" s="6"/>
      <c r="G494" s="6"/>
    </row>
    <row r="495" spans="1:7">
      <c r="A495" s="62">
        <v>44603</v>
      </c>
      <c r="B495" s="63">
        <v>4418.6400000000003</v>
      </c>
      <c r="C495" s="6">
        <v>369.77</v>
      </c>
      <c r="D495" s="6">
        <f>(B494-Table21[[#This Row],[Index Close]])/Table21[[#This Row],[Index Close]]</f>
        <v>-3.8405482229826944E-3</v>
      </c>
      <c r="E495" s="6">
        <f>(C494-Table21[[#This Row],[Stock Close]])/Table21[[#This Row],[Stock Close]]</f>
        <v>1.1872244908997602E-2</v>
      </c>
      <c r="F495" s="6"/>
      <c r="G495" s="6"/>
    </row>
    <row r="496" spans="1:7">
      <c r="A496" s="62">
        <v>44602</v>
      </c>
      <c r="B496" s="63">
        <v>4504.1000000000004</v>
      </c>
      <c r="C496" s="6">
        <v>374.39</v>
      </c>
      <c r="D496" s="6">
        <f>(B495-Table21[[#This Row],[Index Close]])/Table21[[#This Row],[Index Close]]</f>
        <v>-1.897382384938168E-2</v>
      </c>
      <c r="E496" s="6">
        <f>(C495-Table21[[#This Row],[Stock Close]])/Table21[[#This Row],[Stock Close]]</f>
        <v>-1.2340073185715443E-2</v>
      </c>
      <c r="F496" s="6"/>
      <c r="G496" s="6"/>
    </row>
    <row r="497" spans="1:7">
      <c r="A497" s="62">
        <v>44601</v>
      </c>
      <c r="B497" s="63">
        <v>4587.2</v>
      </c>
      <c r="C497" s="6">
        <v>381.37</v>
      </c>
      <c r="D497" s="6">
        <f>(B496-Table21[[#This Row],[Index Close]])/Table21[[#This Row],[Index Close]]</f>
        <v>-1.8115626089989418E-2</v>
      </c>
      <c r="E497" s="6">
        <f>(C496-Table21[[#This Row],[Stock Close]])/Table21[[#This Row],[Stock Close]]</f>
        <v>-1.8302435954584834E-2</v>
      </c>
      <c r="F497" s="6"/>
      <c r="G497" s="6"/>
    </row>
    <row r="498" spans="1:7">
      <c r="A498" s="62">
        <v>44600</v>
      </c>
      <c r="B498" s="63">
        <v>4521.5</v>
      </c>
      <c r="C498" s="6">
        <v>374.37</v>
      </c>
      <c r="D498" s="6">
        <f>(B497-Table21[[#This Row],[Index Close]])/Table21[[#This Row],[Index Close]]</f>
        <v>1.4530576136237934E-2</v>
      </c>
      <c r="E498" s="6">
        <f>(C497-Table21[[#This Row],[Stock Close]])/Table21[[#This Row],[Stock Close]]</f>
        <v>1.8698079440126077E-2</v>
      </c>
      <c r="F498" s="6"/>
      <c r="G498" s="6"/>
    </row>
    <row r="499" spans="1:7">
      <c r="A499" s="62">
        <v>44599</v>
      </c>
      <c r="B499" s="63">
        <v>4483.8999999999996</v>
      </c>
      <c r="C499" s="6">
        <v>376.13</v>
      </c>
      <c r="D499" s="6">
        <f>(B498-Table21[[#This Row],[Index Close]])/Table21[[#This Row],[Index Close]]</f>
        <v>8.3855572158166702E-3</v>
      </c>
      <c r="E499" s="6">
        <f>(C498-Table21[[#This Row],[Stock Close]])/Table21[[#This Row],[Stock Close]]</f>
        <v>-4.6792332438252487E-3</v>
      </c>
      <c r="F499" s="6"/>
      <c r="G499" s="6"/>
    </row>
    <row r="500" spans="1:7">
      <c r="A500" s="62">
        <v>44596</v>
      </c>
      <c r="B500" s="63">
        <v>4500.5</v>
      </c>
      <c r="C500" s="6">
        <v>382.2</v>
      </c>
      <c r="D500" s="6">
        <f>(B499-Table21[[#This Row],[Index Close]])/Table21[[#This Row],[Index Close]]</f>
        <v>-3.6884790578825383E-3</v>
      </c>
      <c r="E500" s="6">
        <f>(C499-Table21[[#This Row],[Stock Close]])/Table21[[#This Row],[Stock Close]]</f>
        <v>-1.5881737310308723E-2</v>
      </c>
      <c r="F500" s="6"/>
      <c r="G500" s="6"/>
    </row>
    <row r="501" spans="1:7">
      <c r="A501" s="62">
        <v>44595</v>
      </c>
      <c r="B501" s="63">
        <v>4477.3999999999996</v>
      </c>
      <c r="C501" s="6">
        <v>390.07</v>
      </c>
      <c r="D501" s="6">
        <f>(B500-Table21[[#This Row],[Index Close]])/Table21[[#This Row],[Index Close]]</f>
        <v>5.1592442042257486E-3</v>
      </c>
      <c r="E501" s="6">
        <f>(C500-Table21[[#This Row],[Stock Close]])/Table21[[#This Row],[Stock Close]]</f>
        <v>-2.0175865870228432E-2</v>
      </c>
      <c r="F501" s="6"/>
      <c r="G501" s="6"/>
    </row>
    <row r="502" spans="1:7">
      <c r="A502" s="62">
        <v>44594</v>
      </c>
      <c r="B502" s="63">
        <v>4589.3999999999996</v>
      </c>
      <c r="C502" s="6">
        <v>396.75</v>
      </c>
      <c r="D502" s="6">
        <f>(B501-Table21[[#This Row],[Index Close]])/Table21[[#This Row],[Index Close]]</f>
        <v>-2.4404061533098011E-2</v>
      </c>
      <c r="E502" s="6">
        <f>(C501-Table21[[#This Row],[Stock Close]])/Table21[[#This Row],[Stock Close]]</f>
        <v>-1.6836798991808462E-2</v>
      </c>
      <c r="F502" s="6"/>
      <c r="G502" s="6"/>
    </row>
    <row r="503" spans="1:7">
      <c r="A503" s="62">
        <v>44593</v>
      </c>
      <c r="B503" s="63">
        <v>4546.5</v>
      </c>
      <c r="C503" s="6">
        <v>392.06</v>
      </c>
      <c r="D503" s="6">
        <f>(B502-Table21[[#This Row],[Index Close]])/Table21[[#This Row],[Index Close]]</f>
        <v>9.4358297591553147E-3</v>
      </c>
      <c r="E503" s="6">
        <f>(C502-Table21[[#This Row],[Stock Close]])/Table21[[#This Row],[Stock Close]]</f>
        <v>1.1962454726317394E-2</v>
      </c>
      <c r="F503" s="6"/>
      <c r="G503" s="6"/>
    </row>
    <row r="504" spans="1:7">
      <c r="A504" s="62">
        <v>44592</v>
      </c>
      <c r="B504" s="63">
        <v>4515.6000000000004</v>
      </c>
      <c r="C504" s="6">
        <v>386.38</v>
      </c>
      <c r="D504" s="6">
        <f>(B503-Table21[[#This Row],[Index Close]])/Table21[[#This Row],[Index Close]]</f>
        <v>6.8429444592079973E-3</v>
      </c>
      <c r="E504" s="6">
        <f>(C503-Table21[[#This Row],[Stock Close]])/Table21[[#This Row],[Stock Close]]</f>
        <v>1.4700553858895406E-2</v>
      </c>
      <c r="F504" s="6"/>
      <c r="G504" s="6"/>
    </row>
    <row r="505" spans="1:7">
      <c r="A505" s="62">
        <v>44589</v>
      </c>
      <c r="B505" s="63">
        <v>4431.8999999999996</v>
      </c>
      <c r="C505" s="6">
        <v>382.51</v>
      </c>
      <c r="D505" s="6">
        <f>(B504-Table21[[#This Row],[Index Close]])/Table21[[#This Row],[Index Close]]</f>
        <v>1.8885805185135208E-2</v>
      </c>
      <c r="E505" s="6">
        <f>(C504-Table21[[#This Row],[Stock Close]])/Table21[[#This Row],[Stock Close]]</f>
        <v>1.0117382552090154E-2</v>
      </c>
      <c r="F505" s="6"/>
      <c r="G505" s="6"/>
    </row>
    <row r="506" spans="1:7">
      <c r="A506" s="62">
        <v>44588</v>
      </c>
      <c r="B506" s="63">
        <v>4326.5</v>
      </c>
      <c r="C506" s="6">
        <v>350.53</v>
      </c>
      <c r="D506" s="6">
        <f>(B505-Table21[[#This Row],[Index Close]])/Table21[[#This Row],[Index Close]]</f>
        <v>2.4361493123772018E-2</v>
      </c>
      <c r="E506" s="6">
        <f>(C505-Table21[[#This Row],[Stock Close]])/Table21[[#This Row],[Stock Close]]</f>
        <v>9.1233275325935073E-2</v>
      </c>
      <c r="F506" s="6"/>
      <c r="G506" s="6"/>
    </row>
    <row r="507" spans="1:7">
      <c r="A507" s="62">
        <v>44587</v>
      </c>
      <c r="B507" s="63">
        <v>4349.8999999999996</v>
      </c>
      <c r="C507" s="6">
        <v>344.66</v>
      </c>
      <c r="D507" s="6">
        <f>(B506-Table21[[#This Row],[Index Close]])/Table21[[#This Row],[Index Close]]</f>
        <v>-5.3794340099771578E-3</v>
      </c>
      <c r="E507" s="6">
        <f>(C506-Table21[[#This Row],[Stock Close]])/Table21[[#This Row],[Stock Close]]</f>
        <v>1.7031277200719397E-2</v>
      </c>
      <c r="F507" s="6"/>
      <c r="G507" s="6"/>
    </row>
    <row r="508" spans="1:7">
      <c r="A508" s="62">
        <v>44586</v>
      </c>
      <c r="B508" s="63">
        <v>4356.3999999999996</v>
      </c>
      <c r="C508" s="6">
        <v>338.76</v>
      </c>
      <c r="D508" s="6">
        <f>(B507-Table21[[#This Row],[Index Close]])/Table21[[#This Row],[Index Close]]</f>
        <v>-1.4920576622899644E-3</v>
      </c>
      <c r="E508" s="6">
        <f>(C507-Table21[[#This Row],[Stock Close]])/Table21[[#This Row],[Stock Close]]</f>
        <v>1.7416460030700302E-2</v>
      </c>
      <c r="F508" s="6"/>
      <c r="G508" s="6"/>
    </row>
    <row r="509" spans="1:7">
      <c r="A509" s="62">
        <v>44585</v>
      </c>
      <c r="B509" s="63">
        <v>4410.1000000000004</v>
      </c>
      <c r="C509" s="6">
        <v>349.42</v>
      </c>
      <c r="D509" s="6">
        <f>(B508-Table21[[#This Row],[Index Close]])/Table21[[#This Row],[Index Close]]</f>
        <v>-1.2176594635042453E-2</v>
      </c>
      <c r="E509" s="6">
        <f>(C508-Table21[[#This Row],[Stock Close]])/Table21[[#This Row],[Stock Close]]</f>
        <v>-3.0507698471753261E-2</v>
      </c>
      <c r="F509" s="6"/>
      <c r="G509" s="6"/>
    </row>
    <row r="510" spans="1:7">
      <c r="A510" s="62">
        <v>44582</v>
      </c>
      <c r="B510" s="63">
        <v>4397.8999999999996</v>
      </c>
      <c r="C510" s="6">
        <v>355.08</v>
      </c>
      <c r="D510" s="6">
        <f>(B509-Table21[[#This Row],[Index Close]])/Table21[[#This Row],[Index Close]]</f>
        <v>2.7740512517339475E-3</v>
      </c>
      <c r="E510" s="6">
        <f>(C509-Table21[[#This Row],[Stock Close]])/Table21[[#This Row],[Stock Close]]</f>
        <v>-1.5940069843415481E-2</v>
      </c>
      <c r="F510" s="6"/>
      <c r="G510" s="6"/>
    </row>
    <row r="511" spans="1:7">
      <c r="A511" s="62">
        <v>44581</v>
      </c>
      <c r="B511" s="63">
        <v>4482.7</v>
      </c>
      <c r="C511" s="6">
        <v>364</v>
      </c>
      <c r="D511" s="6">
        <f>(B510-Table21[[#This Row],[Index Close]])/Table21[[#This Row],[Index Close]]</f>
        <v>-1.8917170455305995E-2</v>
      </c>
      <c r="E511" s="6">
        <f>(C510-Table21[[#This Row],[Stock Close]])/Table21[[#This Row],[Stock Close]]</f>
        <v>-2.4505494505494548E-2</v>
      </c>
      <c r="F511" s="6"/>
      <c r="G511" s="6"/>
    </row>
    <row r="512" spans="1:7">
      <c r="A512" s="62">
        <v>44580</v>
      </c>
      <c r="B512" s="63">
        <v>4532.8</v>
      </c>
      <c r="C512" s="6">
        <v>360.73</v>
      </c>
      <c r="D512" s="6">
        <f>(B511-Table21[[#This Row],[Index Close]])/Table21[[#This Row],[Index Close]]</f>
        <v>-1.1052770914225282E-2</v>
      </c>
      <c r="E512" s="6">
        <f>(C511-Table21[[#This Row],[Stock Close]])/Table21[[#This Row],[Stock Close]]</f>
        <v>9.0649516258697136E-3</v>
      </c>
      <c r="F512" s="6"/>
      <c r="G512" s="6"/>
    </row>
    <row r="513" spans="1:7">
      <c r="A513" s="62">
        <v>44579</v>
      </c>
      <c r="B513" s="63">
        <v>4577.1000000000004</v>
      </c>
      <c r="C513" s="6">
        <v>366.3</v>
      </c>
      <c r="D513" s="6">
        <f>(B512-Table21[[#This Row],[Index Close]])/Table21[[#This Row],[Index Close]]</f>
        <v>-9.6786174652072655E-3</v>
      </c>
      <c r="E513" s="6">
        <f>(C512-Table21[[#This Row],[Stock Close]])/Table21[[#This Row],[Stock Close]]</f>
        <v>-1.5206115206115187E-2</v>
      </c>
      <c r="F513" s="6"/>
      <c r="G513" s="6"/>
    </row>
    <row r="514" spans="1:7">
      <c r="A514" s="62">
        <v>44575</v>
      </c>
      <c r="B514" s="63">
        <v>4662.8999999999996</v>
      </c>
      <c r="C514" s="6">
        <v>372.14</v>
      </c>
      <c r="D514" s="6">
        <f>(B513-Table21[[#This Row],[Index Close]])/Table21[[#This Row],[Index Close]]</f>
        <v>-1.8400566171266654E-2</v>
      </c>
      <c r="E514" s="6">
        <f>(C513-Table21[[#This Row],[Stock Close]])/Table21[[#This Row],[Stock Close]]</f>
        <v>-1.5693018756381939E-2</v>
      </c>
      <c r="F514" s="6"/>
      <c r="G514" s="6"/>
    </row>
    <row r="515" spans="1:7">
      <c r="A515" s="62">
        <v>44574</v>
      </c>
      <c r="B515" s="63">
        <v>4659</v>
      </c>
      <c r="C515" s="6">
        <v>369.52</v>
      </c>
      <c r="D515" s="6">
        <f>(B514-Table21[[#This Row],[Index Close]])/Table21[[#This Row],[Index Close]]</f>
        <v>8.3708950418536941E-4</v>
      </c>
      <c r="E515" s="6">
        <f>(C514-Table21[[#This Row],[Stock Close]])/Table21[[#This Row],[Stock Close]]</f>
        <v>7.0902792812297163E-3</v>
      </c>
      <c r="F515" s="6"/>
      <c r="G515" s="6"/>
    </row>
    <row r="516" spans="1:7">
      <c r="A516" s="62">
        <v>44573</v>
      </c>
      <c r="B516" s="63">
        <v>4726.3999999999996</v>
      </c>
      <c r="C516" s="6">
        <v>367.31</v>
      </c>
      <c r="D516" s="6">
        <f>(B515-Table21[[#This Row],[Index Close]])/Table21[[#This Row],[Index Close]]</f>
        <v>-1.4260324983073723E-2</v>
      </c>
      <c r="E516" s="6">
        <f>(C515-Table21[[#This Row],[Stock Close]])/Table21[[#This Row],[Stock Close]]</f>
        <v>6.0167161253436591E-3</v>
      </c>
      <c r="F516" s="6"/>
      <c r="G516" s="6"/>
    </row>
    <row r="517" spans="1:7">
      <c r="A517" s="62">
        <v>44572</v>
      </c>
      <c r="B517" s="63">
        <v>4713.1000000000004</v>
      </c>
      <c r="C517" s="6">
        <v>366.29</v>
      </c>
      <c r="D517" s="6">
        <f>(B516-Table21[[#This Row],[Index Close]])/Table21[[#This Row],[Index Close]]</f>
        <v>2.8219218773205047E-3</v>
      </c>
      <c r="E517" s="6">
        <f>(C516-Table21[[#This Row],[Stock Close]])/Table21[[#This Row],[Stock Close]]</f>
        <v>2.7846788064101718E-3</v>
      </c>
      <c r="F517" s="6"/>
      <c r="G517" s="6"/>
    </row>
    <row r="518" spans="1:7">
      <c r="A518" s="62">
        <v>44571</v>
      </c>
      <c r="B518" s="63">
        <v>4670.3</v>
      </c>
      <c r="C518" s="6">
        <v>363.91</v>
      </c>
      <c r="D518" s="6">
        <f>(B517-Table21[[#This Row],[Index Close]])/Table21[[#This Row],[Index Close]]</f>
        <v>9.1642935143353057E-3</v>
      </c>
      <c r="E518" s="6">
        <f>(C517-Table21[[#This Row],[Stock Close]])/Table21[[#This Row],[Stock Close]]</f>
        <v>6.5400785908603645E-3</v>
      </c>
      <c r="F518" s="6"/>
      <c r="G518" s="6"/>
    </row>
    <row r="519" spans="1:7">
      <c r="A519" s="62">
        <v>44568</v>
      </c>
      <c r="B519" s="63">
        <v>4677</v>
      </c>
      <c r="C519" s="6">
        <v>369.65</v>
      </c>
      <c r="D519" s="6">
        <f>(B518-Table21[[#This Row],[Index Close]])/Table21[[#This Row],[Index Close]]</f>
        <v>-1.4325422279238438E-3</v>
      </c>
      <c r="E519" s="6">
        <f>(C518-Table21[[#This Row],[Stock Close]])/Table21[[#This Row],[Stock Close]]</f>
        <v>-1.552820235357758E-2</v>
      </c>
      <c r="F519" s="6"/>
      <c r="G519" s="6"/>
    </row>
    <row r="520" spans="1:7">
      <c r="A520" s="62">
        <v>44567</v>
      </c>
      <c r="B520" s="63">
        <v>4696.1000000000004</v>
      </c>
      <c r="C520" s="6">
        <v>370</v>
      </c>
      <c r="D520" s="6">
        <f>(B519-Table21[[#This Row],[Index Close]])/Table21[[#This Row],[Index Close]]</f>
        <v>-4.0672047017738895E-3</v>
      </c>
      <c r="E520" s="6">
        <f>(C519-Table21[[#This Row],[Stock Close]])/Table21[[#This Row],[Stock Close]]</f>
        <v>-9.4594594594600741E-4</v>
      </c>
      <c r="F520" s="6"/>
      <c r="G520" s="6"/>
    </row>
    <row r="521" spans="1:7">
      <c r="A521" s="62">
        <v>44566</v>
      </c>
      <c r="B521" s="63">
        <v>4700.6000000000004</v>
      </c>
      <c r="C521" s="6">
        <v>373.9</v>
      </c>
      <c r="D521" s="6">
        <f>(B520-Table21[[#This Row],[Index Close]])/Table21[[#This Row],[Index Close]]</f>
        <v>-9.5732459685997525E-4</v>
      </c>
      <c r="E521" s="6">
        <f>(C520-Table21[[#This Row],[Stock Close]])/Table21[[#This Row],[Stock Close]]</f>
        <v>-1.0430596416153992E-2</v>
      </c>
      <c r="F521" s="6"/>
      <c r="G521" s="6"/>
    </row>
    <row r="522" spans="1:7">
      <c r="A522" s="62">
        <v>44565</v>
      </c>
      <c r="B522" s="63">
        <v>4793.5</v>
      </c>
      <c r="C522" s="6">
        <v>375.39</v>
      </c>
      <c r="D522" s="6">
        <f>(B521-Table21[[#This Row],[Index Close]])/Table21[[#This Row],[Index Close]]</f>
        <v>-1.9380410973192791E-2</v>
      </c>
      <c r="E522" s="6">
        <f>(C521-Table21[[#This Row],[Stock Close]])/Table21[[#This Row],[Stock Close]]</f>
        <v>-3.9692053597592085E-3</v>
      </c>
      <c r="F522" s="6"/>
      <c r="G522" s="6"/>
    </row>
    <row r="523" spans="1:7">
      <c r="A523" s="62">
        <v>44564</v>
      </c>
      <c r="B523" s="63">
        <v>4796.6000000000004</v>
      </c>
      <c r="C523" s="6">
        <v>370.95</v>
      </c>
      <c r="D523" s="6">
        <f>(B522-Table21[[#This Row],[Index Close]])/Table21[[#This Row],[Index Close]]</f>
        <v>-6.462911228787816E-4</v>
      </c>
      <c r="E523" s="6">
        <f>(C522-Table21[[#This Row],[Stock Close]])/Table21[[#This Row],[Stock Close]]</f>
        <v>1.1969268095430646E-2</v>
      </c>
      <c r="F523" s="6"/>
      <c r="G523" s="6"/>
    </row>
    <row r="524" spans="1:7">
      <c r="A524" s="1"/>
    </row>
    <row r="525" spans="1:7">
      <c r="A525" s="1"/>
    </row>
    <row r="526" spans="1:7">
      <c r="A526" s="1"/>
    </row>
    <row r="527" spans="1:7">
      <c r="A527" s="1"/>
    </row>
    <row r="528" spans="1:7">
      <c r="A528" s="1"/>
    </row>
    <row r="529" spans="1:1">
      <c r="A529" s="1"/>
    </row>
    <row r="530" spans="1:1">
      <c r="A530" s="1"/>
    </row>
    <row r="531" spans="1:1">
      <c r="A531" s="1"/>
    </row>
    <row r="532" spans="1:1">
      <c r="A532" s="1"/>
    </row>
    <row r="533" spans="1:1">
      <c r="A533" s="1"/>
    </row>
    <row r="534" spans="1:1">
      <c r="A534" s="1"/>
    </row>
    <row r="535" spans="1:1">
      <c r="A535" s="1"/>
    </row>
    <row r="536" spans="1:1">
      <c r="A536" s="1"/>
    </row>
    <row r="537" spans="1:1">
      <c r="A537" s="1"/>
    </row>
    <row r="538" spans="1:1">
      <c r="A538" s="1"/>
    </row>
    <row r="539" spans="1:1">
      <c r="A539" s="1"/>
    </row>
    <row r="540" spans="1:1">
      <c r="A540" s="1"/>
    </row>
    <row r="541" spans="1:1">
      <c r="A541" s="1"/>
    </row>
    <row r="542" spans="1:1">
      <c r="A542" s="1"/>
    </row>
    <row r="543" spans="1:1">
      <c r="A543" s="1"/>
    </row>
    <row r="544" spans="1:1">
      <c r="A544" s="1"/>
    </row>
    <row r="545" spans="1:1">
      <c r="A545" s="1"/>
    </row>
    <row r="546" spans="1:1">
      <c r="A546" s="1"/>
    </row>
    <row r="547" spans="1:1">
      <c r="A547" s="1"/>
    </row>
    <row r="548" spans="1:1">
      <c r="A548" s="1"/>
    </row>
    <row r="549" spans="1:1">
      <c r="A549" s="1"/>
    </row>
    <row r="550" spans="1:1">
      <c r="A550" s="1"/>
    </row>
    <row r="551" spans="1:1">
      <c r="A551" s="1"/>
    </row>
    <row r="552" spans="1:1">
      <c r="A552" s="1"/>
    </row>
    <row r="553" spans="1:1">
      <c r="A553" s="1"/>
    </row>
    <row r="554" spans="1:1">
      <c r="A554" s="1"/>
    </row>
    <row r="555" spans="1:1">
      <c r="A555" s="1"/>
    </row>
    <row r="556" spans="1:1">
      <c r="A556" s="1"/>
    </row>
    <row r="557" spans="1:1">
      <c r="A557" s="1"/>
    </row>
    <row r="558" spans="1:1">
      <c r="A558" s="1"/>
    </row>
    <row r="559" spans="1:1">
      <c r="A559" s="1"/>
    </row>
    <row r="560" spans="1:1">
      <c r="A560" s="1"/>
    </row>
    <row r="561" spans="1:1">
      <c r="A561" s="1"/>
    </row>
    <row r="562" spans="1:1">
      <c r="A562" s="1"/>
    </row>
    <row r="563" spans="1:1">
      <c r="A563" s="1"/>
    </row>
    <row r="564" spans="1:1">
      <c r="A564" s="1"/>
    </row>
    <row r="565" spans="1:1">
      <c r="A565" s="1"/>
    </row>
    <row r="566" spans="1:1">
      <c r="A566" s="1"/>
    </row>
    <row r="567" spans="1:1">
      <c r="A567" s="1"/>
    </row>
    <row r="568" spans="1:1">
      <c r="A568" s="1"/>
    </row>
    <row r="569" spans="1:1">
      <c r="A569" s="1"/>
    </row>
    <row r="570" spans="1:1">
      <c r="A570" s="1"/>
    </row>
    <row r="571" spans="1:1">
      <c r="A571" s="1"/>
    </row>
    <row r="572" spans="1:1">
      <c r="A572" s="1"/>
    </row>
    <row r="573" spans="1:1">
      <c r="A573" s="1"/>
    </row>
    <row r="574" spans="1:1">
      <c r="A574" s="1"/>
    </row>
    <row r="575" spans="1:1">
      <c r="A575" s="1"/>
    </row>
    <row r="576" spans="1:1">
      <c r="A576" s="1"/>
    </row>
    <row r="577" spans="1:1">
      <c r="A577" s="1"/>
    </row>
    <row r="578" spans="1:1">
      <c r="A578" s="1"/>
    </row>
    <row r="579" spans="1:1">
      <c r="A579" s="1"/>
    </row>
    <row r="580" spans="1:1">
      <c r="A580" s="1"/>
    </row>
    <row r="581" spans="1:1">
      <c r="A581" s="1"/>
    </row>
    <row r="582" spans="1:1">
      <c r="A582" s="1"/>
    </row>
    <row r="583" spans="1:1">
      <c r="A583" s="1"/>
    </row>
    <row r="584" spans="1:1">
      <c r="A584" s="1"/>
    </row>
    <row r="585" spans="1:1">
      <c r="A585" s="1"/>
    </row>
    <row r="586" spans="1:1">
      <c r="A586" s="1"/>
    </row>
    <row r="587" spans="1:1">
      <c r="A587" s="1"/>
    </row>
    <row r="588" spans="1:1">
      <c r="A588" s="1"/>
    </row>
    <row r="589" spans="1:1">
      <c r="A589" s="1"/>
    </row>
    <row r="590" spans="1:1">
      <c r="A590" s="1"/>
    </row>
    <row r="591" spans="1:1">
      <c r="A591" s="1"/>
    </row>
    <row r="592" spans="1:1">
      <c r="A592" s="1"/>
    </row>
    <row r="593" spans="1:1">
      <c r="A593" s="1"/>
    </row>
    <row r="594" spans="1:1">
      <c r="A594" s="1"/>
    </row>
    <row r="595" spans="1:1">
      <c r="A595" s="1"/>
    </row>
    <row r="596" spans="1:1">
      <c r="A596" s="1"/>
    </row>
    <row r="597" spans="1:1">
      <c r="A597" s="1"/>
    </row>
    <row r="598" spans="1:1">
      <c r="A598" s="1"/>
    </row>
    <row r="599" spans="1:1">
      <c r="A599" s="1"/>
    </row>
    <row r="600" spans="1:1">
      <c r="A600" s="1"/>
    </row>
    <row r="601" spans="1:1">
      <c r="A601" s="1"/>
    </row>
    <row r="602" spans="1:1">
      <c r="A602" s="1"/>
    </row>
    <row r="603" spans="1:1">
      <c r="A603" s="1"/>
    </row>
    <row r="604" spans="1:1">
      <c r="A604" s="1"/>
    </row>
    <row r="605" spans="1:1">
      <c r="A605" s="1"/>
    </row>
    <row r="606" spans="1:1">
      <c r="A606" s="1"/>
    </row>
    <row r="607" spans="1:1">
      <c r="A607" s="1"/>
    </row>
    <row r="608" spans="1:1">
      <c r="A608" s="1"/>
    </row>
    <row r="609" spans="1:1">
      <c r="A609" s="1"/>
    </row>
    <row r="610" spans="1:1">
      <c r="A610" s="1"/>
    </row>
    <row r="611" spans="1:1">
      <c r="A611" s="1"/>
    </row>
    <row r="612" spans="1:1">
      <c r="A612" s="1"/>
    </row>
    <row r="613" spans="1:1">
      <c r="A613" s="1"/>
    </row>
    <row r="614" spans="1:1">
      <c r="A614" s="1"/>
    </row>
    <row r="615" spans="1:1">
      <c r="A615" s="1"/>
    </row>
    <row r="616" spans="1:1">
      <c r="A616" s="1"/>
    </row>
    <row r="617" spans="1:1">
      <c r="A617" s="1"/>
    </row>
    <row r="618" spans="1:1">
      <c r="A618" s="1"/>
    </row>
    <row r="619" spans="1:1">
      <c r="A619" s="1"/>
    </row>
    <row r="620" spans="1:1">
      <c r="A620" s="1"/>
    </row>
    <row r="621" spans="1:1">
      <c r="A621" s="1"/>
    </row>
    <row r="622" spans="1:1">
      <c r="A622" s="1"/>
    </row>
    <row r="623" spans="1:1">
      <c r="A623" s="1"/>
    </row>
    <row r="624" spans="1:1">
      <c r="A624" s="1"/>
    </row>
    <row r="625" spans="1:1">
      <c r="A625" s="1"/>
    </row>
    <row r="626" spans="1:1">
      <c r="A626" s="1"/>
    </row>
    <row r="627" spans="1:1">
      <c r="A627" s="1"/>
    </row>
    <row r="628" spans="1:1">
      <c r="A628" s="1"/>
    </row>
    <row r="629" spans="1:1">
      <c r="A629" s="1"/>
    </row>
    <row r="630" spans="1:1">
      <c r="A630" s="1"/>
    </row>
    <row r="631" spans="1:1">
      <c r="A631" s="1"/>
    </row>
    <row r="632" spans="1:1">
      <c r="A632" s="1"/>
    </row>
    <row r="633" spans="1:1">
      <c r="A633" s="1"/>
    </row>
    <row r="634" spans="1:1">
      <c r="A634" s="1"/>
    </row>
    <row r="635" spans="1:1">
      <c r="A635" s="1"/>
    </row>
    <row r="636" spans="1:1">
      <c r="A636" s="1"/>
    </row>
    <row r="637" spans="1:1">
      <c r="A637" s="1"/>
    </row>
    <row r="638" spans="1:1">
      <c r="A638" s="1"/>
    </row>
    <row r="639" spans="1:1">
      <c r="A639" s="1"/>
    </row>
    <row r="640" spans="1:1">
      <c r="A640" s="1"/>
    </row>
    <row r="641" spans="1:1">
      <c r="A641" s="1"/>
    </row>
    <row r="642" spans="1:1">
      <c r="A642" s="1"/>
    </row>
    <row r="643" spans="1:1">
      <c r="A643" s="1"/>
    </row>
    <row r="644" spans="1:1">
      <c r="A644" s="1"/>
    </row>
    <row r="645" spans="1:1">
      <c r="A645" s="1"/>
    </row>
    <row r="646" spans="1:1">
      <c r="A646" s="1"/>
    </row>
    <row r="647" spans="1:1">
      <c r="A647" s="1"/>
    </row>
    <row r="648" spans="1:1">
      <c r="A648" s="1"/>
    </row>
    <row r="649" spans="1:1">
      <c r="A649" s="1"/>
    </row>
    <row r="650" spans="1:1">
      <c r="A650" s="1"/>
    </row>
    <row r="651" spans="1:1">
      <c r="A651" s="1"/>
    </row>
    <row r="652" spans="1:1">
      <c r="A652" s="1"/>
    </row>
    <row r="653" spans="1:1">
      <c r="A653" s="1"/>
    </row>
    <row r="654" spans="1:1">
      <c r="A654" s="1"/>
    </row>
    <row r="655" spans="1:1">
      <c r="A655" s="1"/>
    </row>
    <row r="656" spans="1:1">
      <c r="A656" s="1"/>
    </row>
    <row r="657" spans="1:1">
      <c r="A657" s="1"/>
    </row>
    <row r="658" spans="1:1">
      <c r="A658" s="1"/>
    </row>
    <row r="659" spans="1:1">
      <c r="A659" s="1"/>
    </row>
    <row r="660" spans="1:1">
      <c r="A660" s="1"/>
    </row>
    <row r="661" spans="1:1">
      <c r="A661" s="1"/>
    </row>
    <row r="662" spans="1:1">
      <c r="A662" s="1"/>
    </row>
    <row r="663" spans="1:1">
      <c r="A663" s="1"/>
    </row>
    <row r="664" spans="1:1">
      <c r="A664" s="1"/>
    </row>
    <row r="665" spans="1:1">
      <c r="A665" s="1"/>
    </row>
    <row r="666" spans="1:1">
      <c r="A666" s="1"/>
    </row>
    <row r="667" spans="1:1">
      <c r="A667" s="1"/>
    </row>
    <row r="668" spans="1:1">
      <c r="A668" s="1"/>
    </row>
    <row r="669" spans="1:1">
      <c r="A669" s="1"/>
    </row>
    <row r="670" spans="1:1">
      <c r="A670" s="1"/>
    </row>
    <row r="671" spans="1:1">
      <c r="A671" s="1"/>
    </row>
    <row r="672" spans="1:1">
      <c r="A672" s="1"/>
    </row>
    <row r="673" spans="1:1">
      <c r="A673" s="1"/>
    </row>
    <row r="674" spans="1:1">
      <c r="A674" s="1"/>
    </row>
    <row r="675" spans="1:1">
      <c r="A675" s="1"/>
    </row>
    <row r="676" spans="1:1">
      <c r="A676" s="1"/>
    </row>
    <row r="677" spans="1:1">
      <c r="A677" s="1"/>
    </row>
    <row r="678" spans="1:1">
      <c r="A678" s="1"/>
    </row>
    <row r="679" spans="1:1">
      <c r="A679" s="1"/>
    </row>
    <row r="680" spans="1:1">
      <c r="A680" s="1"/>
    </row>
    <row r="681" spans="1:1">
      <c r="A681" s="1"/>
    </row>
    <row r="682" spans="1:1">
      <c r="A682" s="1"/>
    </row>
    <row r="683" spans="1:1">
      <c r="A683" s="1"/>
    </row>
    <row r="684" spans="1:1">
      <c r="A684" s="1"/>
    </row>
    <row r="685" spans="1:1">
      <c r="A685" s="1"/>
    </row>
    <row r="686" spans="1:1">
      <c r="A686" s="1"/>
    </row>
    <row r="687" spans="1:1">
      <c r="A687" s="1"/>
    </row>
    <row r="688" spans="1:1">
      <c r="A688" s="1"/>
    </row>
    <row r="689" spans="1:1">
      <c r="A689" s="1"/>
    </row>
    <row r="690" spans="1:1">
      <c r="A690" s="1"/>
    </row>
    <row r="691" spans="1:1">
      <c r="A691" s="1"/>
    </row>
    <row r="692" spans="1:1">
      <c r="A692" s="1"/>
    </row>
    <row r="693" spans="1:1">
      <c r="A693" s="1"/>
    </row>
    <row r="694" spans="1:1">
      <c r="A694" s="1"/>
    </row>
    <row r="695" spans="1:1">
      <c r="A695" s="1"/>
    </row>
    <row r="696" spans="1:1">
      <c r="A696" s="1"/>
    </row>
    <row r="697" spans="1:1">
      <c r="A697" s="1"/>
    </row>
    <row r="698" spans="1:1">
      <c r="A698" s="1"/>
    </row>
    <row r="699" spans="1:1">
      <c r="A699" s="1"/>
    </row>
    <row r="700" spans="1:1">
      <c r="A700" s="1"/>
    </row>
    <row r="701" spans="1:1">
      <c r="A701" s="1"/>
    </row>
    <row r="702" spans="1:1">
      <c r="A702" s="1"/>
    </row>
    <row r="703" spans="1:1">
      <c r="A703" s="1"/>
    </row>
    <row r="704" spans="1:1">
      <c r="A704" s="1"/>
    </row>
    <row r="705" spans="1:1">
      <c r="A705" s="1"/>
    </row>
    <row r="706" spans="1:1">
      <c r="A706" s="1"/>
    </row>
    <row r="707" spans="1:1">
      <c r="A707" s="1"/>
    </row>
    <row r="708" spans="1:1">
      <c r="A708" s="1"/>
    </row>
    <row r="709" spans="1:1">
      <c r="A709" s="1"/>
    </row>
    <row r="710" spans="1:1">
      <c r="A710" s="1"/>
    </row>
    <row r="711" spans="1:1">
      <c r="A711" s="1"/>
    </row>
    <row r="712" spans="1:1">
      <c r="A712" s="1"/>
    </row>
    <row r="713" spans="1:1">
      <c r="A713" s="1"/>
    </row>
    <row r="714" spans="1:1">
      <c r="A714" s="1"/>
    </row>
    <row r="715" spans="1:1">
      <c r="A715" s="1"/>
    </row>
    <row r="716" spans="1:1">
      <c r="A716" s="1"/>
    </row>
    <row r="717" spans="1:1">
      <c r="A717" s="1"/>
    </row>
    <row r="718" spans="1:1">
      <c r="A718" s="1"/>
    </row>
    <row r="719" spans="1:1">
      <c r="A719" s="1"/>
    </row>
    <row r="720" spans="1:1">
      <c r="A720" s="1"/>
    </row>
    <row r="721" spans="1:1">
      <c r="A721" s="1"/>
    </row>
    <row r="722" spans="1:1">
      <c r="A722" s="1"/>
    </row>
    <row r="723" spans="1:1">
      <c r="A723" s="1"/>
    </row>
    <row r="724" spans="1:1">
      <c r="A724" s="1"/>
    </row>
    <row r="725" spans="1:1">
      <c r="A725" s="1"/>
    </row>
    <row r="726" spans="1:1">
      <c r="A726" s="1"/>
    </row>
    <row r="727" spans="1:1">
      <c r="A727" s="1"/>
    </row>
    <row r="728" spans="1:1">
      <c r="A728" s="1"/>
    </row>
    <row r="729" spans="1:1">
      <c r="A729" s="1"/>
    </row>
    <row r="730" spans="1:1">
      <c r="A730" s="1"/>
    </row>
    <row r="731" spans="1:1">
      <c r="A731" s="1"/>
    </row>
    <row r="732" spans="1:1">
      <c r="A732" s="1"/>
    </row>
    <row r="733" spans="1:1">
      <c r="A733" s="1"/>
    </row>
    <row r="734" spans="1:1">
      <c r="A734" s="1"/>
    </row>
    <row r="735" spans="1:1">
      <c r="A735" s="1"/>
    </row>
    <row r="736" spans="1:1">
      <c r="A736" s="1"/>
    </row>
    <row r="737" spans="1:1">
      <c r="A737" s="1"/>
    </row>
    <row r="738" spans="1:1">
      <c r="A738" s="1"/>
    </row>
    <row r="739" spans="1:1">
      <c r="A739" s="1"/>
    </row>
    <row r="740" spans="1:1">
      <c r="A740" s="1"/>
    </row>
    <row r="741" spans="1:1">
      <c r="A741" s="1"/>
    </row>
    <row r="742" spans="1:1">
      <c r="A742" s="1"/>
    </row>
    <row r="743" spans="1:1">
      <c r="A743" s="1"/>
    </row>
    <row r="744" spans="1:1">
      <c r="A744" s="1"/>
    </row>
    <row r="745" spans="1:1">
      <c r="A745" s="1"/>
    </row>
    <row r="746" spans="1:1">
      <c r="A746" s="1"/>
    </row>
    <row r="747" spans="1:1">
      <c r="A747" s="1"/>
    </row>
    <row r="748" spans="1:1">
      <c r="A748" s="1"/>
    </row>
    <row r="749" spans="1:1">
      <c r="A749" s="1"/>
    </row>
    <row r="750" spans="1:1">
      <c r="A750" s="1"/>
    </row>
    <row r="751" spans="1:1">
      <c r="A751" s="1"/>
    </row>
    <row r="752" spans="1:1">
      <c r="A752" s="1"/>
    </row>
    <row r="753" spans="1:1">
      <c r="A753" s="1"/>
    </row>
    <row r="754" spans="1:1">
      <c r="A754" s="1"/>
    </row>
    <row r="755" spans="1:1">
      <c r="A755" s="1"/>
    </row>
    <row r="756" spans="1:1">
      <c r="A756" s="1"/>
    </row>
    <row r="757" spans="1:1">
      <c r="A757" s="1"/>
    </row>
    <row r="758" spans="1:1">
      <c r="A758" s="1"/>
    </row>
    <row r="759" spans="1:1">
      <c r="A759" s="1"/>
    </row>
    <row r="760" spans="1:1">
      <c r="A760" s="1"/>
    </row>
  </sheetData>
  <sortState xmlns:xlrd2="http://schemas.microsoft.com/office/spreadsheetml/2017/richdata2" ref="A2:A523">
    <sortCondition descending="1" ref="A2:A523"/>
  </sortState>
  <pageMargins left="0.7" right="0.7" top="0.75" bottom="0.75" header="0.3" footer="0.3"/>
  <drawing r:id="rId1"/>
  <tableParts count="3">
    <tablePart r:id="rId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FA011-6121-45AA-A062-15FCDC27769B}">
  <dimension ref="A1:O75"/>
  <sheetViews>
    <sheetView zoomScale="64" zoomScaleNormal="80" workbookViewId="0"/>
  </sheetViews>
  <sheetFormatPr defaultRowHeight="14"/>
  <cols>
    <col min="1" max="1" width="37.75" customWidth="1"/>
    <col min="2" max="2" width="19.4140625" customWidth="1"/>
    <col min="3" max="3" width="25.4140625" customWidth="1"/>
    <col min="4" max="4" width="36.1640625" customWidth="1"/>
    <col min="5" max="5" width="14.1640625" customWidth="1"/>
    <col min="6" max="6" width="11.83203125" customWidth="1"/>
    <col min="7" max="7" width="11.75" customWidth="1"/>
    <col min="8" max="8" width="14.1640625" customWidth="1"/>
    <col min="9" max="9" width="10.58203125" customWidth="1"/>
    <col min="10" max="10" width="14.4140625" customWidth="1"/>
    <col min="11" max="11" width="14.25" customWidth="1"/>
    <col min="12" max="12" width="10.83203125" customWidth="1"/>
    <col min="13" max="13" width="11" customWidth="1"/>
    <col min="14" max="14" width="14.58203125" customWidth="1"/>
    <col min="15" max="15" width="24" customWidth="1"/>
  </cols>
  <sheetData>
    <row r="1" spans="1:15">
      <c r="A1" s="5" t="s">
        <v>254</v>
      </c>
      <c r="B1" s="5" t="s">
        <v>240</v>
      </c>
      <c r="C1" s="5" t="s">
        <v>241</v>
      </c>
      <c r="D1" s="5" t="s">
        <v>242</v>
      </c>
      <c r="E1" s="5" t="s">
        <v>117</v>
      </c>
      <c r="F1" s="5" t="s">
        <v>118</v>
      </c>
      <c r="G1" s="5" t="s">
        <v>119</v>
      </c>
      <c r="H1" s="5" t="s">
        <v>120</v>
      </c>
      <c r="I1" s="5" t="s">
        <v>121</v>
      </c>
      <c r="J1" s="52" t="s">
        <v>124</v>
      </c>
      <c r="K1" s="52" t="s">
        <v>125</v>
      </c>
      <c r="L1" s="52" t="s">
        <v>126</v>
      </c>
      <c r="M1" s="52" t="s">
        <v>127</v>
      </c>
      <c r="N1" s="52" t="s">
        <v>128</v>
      </c>
      <c r="O1" s="53" t="s">
        <v>246</v>
      </c>
    </row>
    <row r="2" spans="1:15">
      <c r="A2" s="54" t="s">
        <v>243</v>
      </c>
      <c r="B2" s="54" t="s">
        <v>247</v>
      </c>
      <c r="C2" s="6" t="s">
        <v>244</v>
      </c>
      <c r="D2" s="6" t="s">
        <v>245</v>
      </c>
      <c r="E2" s="6">
        <v>84900</v>
      </c>
      <c r="F2" s="6">
        <v>96500</v>
      </c>
      <c r="G2" s="6">
        <v>100600</v>
      </c>
      <c r="H2" s="6">
        <v>105400</v>
      </c>
      <c r="I2" s="6">
        <v>110000</v>
      </c>
      <c r="J2" s="6">
        <v>115300</v>
      </c>
      <c r="K2" s="6">
        <v>120700</v>
      </c>
      <c r="L2" s="6">
        <v>126000</v>
      </c>
      <c r="M2" s="6">
        <v>131400</v>
      </c>
      <c r="N2" s="6">
        <v>136900</v>
      </c>
      <c r="O2" s="55">
        <v>2024</v>
      </c>
    </row>
    <row r="3" spans="1:15">
      <c r="A3" s="54" t="s">
        <v>243</v>
      </c>
      <c r="B3" s="54" t="s">
        <v>249</v>
      </c>
      <c r="C3" s="6"/>
      <c r="D3" s="54" t="s">
        <v>251</v>
      </c>
      <c r="E3" s="41">
        <v>-3.1E-2</v>
      </c>
      <c r="F3" s="41">
        <v>0.06</v>
      </c>
      <c r="G3" s="41">
        <v>3.5000000000000003E-2</v>
      </c>
      <c r="H3" s="41">
        <v>3.2000000000000001E-2</v>
      </c>
      <c r="I3" s="41">
        <v>3.1E-2</v>
      </c>
      <c r="J3" s="41">
        <v>3.2000000000000001E-2</v>
      </c>
      <c r="K3" s="41">
        <v>3.2000000000000001E-2</v>
      </c>
      <c r="L3" s="41">
        <v>3.1E-2</v>
      </c>
      <c r="M3" s="41">
        <v>0.03</v>
      </c>
      <c r="N3" s="41">
        <v>0.03</v>
      </c>
      <c r="O3" s="54">
        <v>2024</v>
      </c>
    </row>
    <row r="4" spans="1:15">
      <c r="A4" s="54" t="s">
        <v>248</v>
      </c>
      <c r="B4" s="54" t="s">
        <v>250</v>
      </c>
      <c r="C4" s="6"/>
      <c r="D4" s="54" t="s">
        <v>253</v>
      </c>
      <c r="E4" s="6">
        <v>103</v>
      </c>
      <c r="F4" s="6">
        <v>108</v>
      </c>
      <c r="G4" s="6">
        <v>118</v>
      </c>
      <c r="H4" s="6">
        <v>126</v>
      </c>
      <c r="I4" s="6">
        <v>133</v>
      </c>
      <c r="J4" s="6">
        <v>138</v>
      </c>
      <c r="K4" s="6">
        <v>143</v>
      </c>
      <c r="L4" s="6">
        <v>148</v>
      </c>
      <c r="M4" s="6">
        <v>153</v>
      </c>
      <c r="N4" s="6">
        <v>158</v>
      </c>
      <c r="O4" s="6">
        <v>2024</v>
      </c>
    </row>
    <row r="5" spans="1:15">
      <c r="A5" s="54" t="s">
        <v>248</v>
      </c>
      <c r="B5" s="54" t="s">
        <v>249</v>
      </c>
      <c r="C5" s="6"/>
      <c r="D5" s="54" t="s">
        <v>252</v>
      </c>
      <c r="E5" s="41">
        <v>3.2000000000000001E-2</v>
      </c>
      <c r="F5" s="41">
        <v>4.7E-2</v>
      </c>
      <c r="G5" s="41">
        <v>8.6999999999999994E-2</v>
      </c>
      <c r="H5" s="41">
        <v>6.8000000000000005E-2</v>
      </c>
      <c r="I5" s="41">
        <v>5.5E-2</v>
      </c>
      <c r="J5" s="41">
        <v>4.2000000000000003E-2</v>
      </c>
      <c r="K5" s="41">
        <v>3.7999999999999999E-2</v>
      </c>
      <c r="L5" s="41">
        <v>3.5000000000000003E-2</v>
      </c>
      <c r="M5" s="41">
        <v>3.3000000000000002E-2</v>
      </c>
      <c r="N5" s="41">
        <v>3.2000000000000001E-2</v>
      </c>
      <c r="O5" s="6">
        <v>2024</v>
      </c>
    </row>
    <row r="6" spans="1:15">
      <c r="A6" s="6"/>
      <c r="B6" s="6"/>
      <c r="C6" s="6"/>
      <c r="D6" s="6"/>
      <c r="E6" s="6"/>
      <c r="F6" s="6"/>
      <c r="G6" s="6"/>
      <c r="H6" s="6"/>
      <c r="I6" s="6"/>
      <c r="J6" s="6"/>
      <c r="K6" s="6"/>
      <c r="L6" s="6"/>
      <c r="M6" s="6"/>
      <c r="N6" s="6"/>
      <c r="O6" s="6"/>
    </row>
    <row r="7" spans="1:15">
      <c r="A7" s="6" t="s">
        <v>255</v>
      </c>
      <c r="B7" s="6" t="s">
        <v>256</v>
      </c>
      <c r="C7" s="6" t="s">
        <v>261</v>
      </c>
      <c r="D7" s="6" t="s">
        <v>257</v>
      </c>
      <c r="E7" s="6" t="s">
        <v>258</v>
      </c>
      <c r="F7" s="6" t="s">
        <v>259</v>
      </c>
      <c r="G7" s="6" t="s">
        <v>260</v>
      </c>
      <c r="H7" s="6"/>
      <c r="I7" s="6"/>
      <c r="J7" s="6"/>
      <c r="K7" s="6"/>
      <c r="L7" s="6"/>
      <c r="M7" s="6"/>
      <c r="N7" s="6"/>
      <c r="O7" s="6"/>
    </row>
    <row r="8" spans="1:15">
      <c r="A8" s="6">
        <v>2020</v>
      </c>
      <c r="B8" s="6">
        <v>84900</v>
      </c>
      <c r="C8" s="41">
        <v>-3.1E-2</v>
      </c>
      <c r="D8" s="6">
        <v>103</v>
      </c>
      <c r="E8" s="41">
        <v>3.2000000000000001E-2</v>
      </c>
      <c r="F8" s="6">
        <v>37000</v>
      </c>
      <c r="G8" s="6">
        <v>15301</v>
      </c>
      <c r="H8" s="6"/>
      <c r="I8" s="6"/>
      <c r="J8" s="6"/>
      <c r="K8" s="6"/>
      <c r="L8" s="6"/>
      <c r="M8" s="6"/>
      <c r="N8" s="6"/>
      <c r="O8" s="6"/>
    </row>
    <row r="9" spans="1:15">
      <c r="A9" s="6">
        <v>2021</v>
      </c>
      <c r="B9" s="6">
        <v>96500</v>
      </c>
      <c r="C9" s="41">
        <v>0.06</v>
      </c>
      <c r="D9" s="6">
        <v>108</v>
      </c>
      <c r="E9" s="41">
        <v>4.7E-2</v>
      </c>
      <c r="F9" s="6">
        <v>43000</v>
      </c>
      <c r="G9" s="6">
        <v>18884</v>
      </c>
      <c r="H9" s="6"/>
      <c r="I9" s="5"/>
      <c r="J9" s="5"/>
      <c r="K9" s="6"/>
      <c r="L9" s="6"/>
      <c r="M9" s="6"/>
      <c r="N9" s="6"/>
      <c r="O9" s="6"/>
    </row>
    <row r="10" spans="1:15">
      <c r="A10" s="6">
        <v>2022</v>
      </c>
      <c r="B10" s="6">
        <v>100600</v>
      </c>
      <c r="C10" s="41">
        <v>3.5000000000000003E-2</v>
      </c>
      <c r="D10" s="6">
        <v>118</v>
      </c>
      <c r="E10" s="41">
        <v>8.6999999999999994E-2</v>
      </c>
      <c r="F10" s="6">
        <v>52000</v>
      </c>
      <c r="G10" s="6">
        <v>22237</v>
      </c>
      <c r="H10" s="6"/>
      <c r="I10" s="6"/>
      <c r="J10" s="6"/>
      <c r="K10" s="6"/>
      <c r="L10" s="6"/>
      <c r="M10" s="6"/>
      <c r="N10" s="6"/>
      <c r="O10" s="6"/>
    </row>
    <row r="11" spans="1:15">
      <c r="A11" s="6">
        <v>2023</v>
      </c>
      <c r="B11" s="6">
        <v>105400</v>
      </c>
      <c r="C11" s="41">
        <v>3.2000000000000001E-2</v>
      </c>
      <c r="D11" s="6">
        <v>126</v>
      </c>
      <c r="E11" s="41">
        <v>6.8000000000000005E-2</v>
      </c>
      <c r="F11" s="6">
        <v>58000</v>
      </c>
      <c r="G11" s="6">
        <v>25098</v>
      </c>
      <c r="H11" s="6"/>
      <c r="I11" s="6"/>
      <c r="J11" s="6"/>
      <c r="K11" s="6"/>
      <c r="L11" s="6"/>
      <c r="M11" s="6"/>
      <c r="N11" s="6"/>
      <c r="O11" s="6"/>
    </row>
    <row r="12" spans="1:15">
      <c r="A12" s="6">
        <v>2024</v>
      </c>
      <c r="B12" s="6">
        <v>110000</v>
      </c>
      <c r="C12" s="41">
        <v>3.1E-2</v>
      </c>
      <c r="D12" s="6">
        <v>133</v>
      </c>
      <c r="E12" s="41">
        <v>5.5E-2</v>
      </c>
      <c r="F12" s="6">
        <v>64000</v>
      </c>
      <c r="G12" s="6">
        <v>28167</v>
      </c>
      <c r="H12" s="6"/>
      <c r="I12" s="6"/>
      <c r="J12" s="6"/>
      <c r="K12" s="6"/>
      <c r="L12" s="6"/>
      <c r="M12" s="6"/>
      <c r="N12" s="6"/>
      <c r="O12" s="6"/>
    </row>
    <row r="13" spans="1:15">
      <c r="A13" s="56" t="s">
        <v>124</v>
      </c>
      <c r="B13" s="6">
        <v>115300</v>
      </c>
      <c r="C13" s="41">
        <v>3.2000000000000001E-2</v>
      </c>
      <c r="D13" s="6">
        <v>138</v>
      </c>
      <c r="E13" s="41">
        <v>4.2000000000000003E-2</v>
      </c>
      <c r="F13" s="6"/>
      <c r="G13" s="6"/>
      <c r="H13" s="6"/>
      <c r="I13" s="6"/>
      <c r="J13" s="6"/>
      <c r="K13" s="6"/>
      <c r="L13" s="6"/>
      <c r="M13" s="6"/>
      <c r="N13" s="6"/>
      <c r="O13" s="6"/>
    </row>
    <row r="14" spans="1:15">
      <c r="A14" s="56" t="s">
        <v>125</v>
      </c>
      <c r="B14" s="6">
        <v>120700</v>
      </c>
      <c r="C14" s="41">
        <v>3.2000000000000001E-2</v>
      </c>
      <c r="D14" s="6">
        <v>143</v>
      </c>
      <c r="E14" s="41">
        <v>3.7999999999999999E-2</v>
      </c>
      <c r="F14" s="6"/>
      <c r="G14" s="6"/>
      <c r="H14" s="6"/>
      <c r="I14" s="6"/>
      <c r="J14" s="6"/>
      <c r="K14" s="6"/>
      <c r="L14" s="6"/>
      <c r="M14" s="6"/>
      <c r="N14" s="6"/>
      <c r="O14" s="6"/>
    </row>
    <row r="15" spans="1:15">
      <c r="A15" s="56" t="s">
        <v>126</v>
      </c>
      <c r="B15" s="6">
        <v>126000</v>
      </c>
      <c r="C15" s="41">
        <v>3.1E-2</v>
      </c>
      <c r="D15" s="6">
        <v>148</v>
      </c>
      <c r="E15" s="41">
        <v>3.5000000000000003E-2</v>
      </c>
      <c r="F15" s="6"/>
      <c r="G15" s="6"/>
      <c r="H15" s="6"/>
      <c r="I15" s="6"/>
      <c r="J15" s="6"/>
      <c r="K15" s="6"/>
      <c r="L15" s="6"/>
      <c r="M15" s="6"/>
      <c r="N15" s="6"/>
      <c r="O15" s="6"/>
    </row>
    <row r="16" spans="1:15">
      <c r="A16" s="56" t="s">
        <v>127</v>
      </c>
      <c r="B16" s="6">
        <v>131400</v>
      </c>
      <c r="C16" s="41">
        <v>0.03</v>
      </c>
      <c r="D16" s="6">
        <v>153</v>
      </c>
      <c r="E16" s="41">
        <v>3.3000000000000002E-2</v>
      </c>
      <c r="F16" s="6"/>
      <c r="G16" s="6"/>
      <c r="H16" s="6"/>
      <c r="I16" s="6"/>
      <c r="J16" s="6"/>
      <c r="K16" s="6"/>
      <c r="L16" s="6"/>
      <c r="M16" s="6"/>
      <c r="N16" s="6"/>
      <c r="O16" s="6"/>
    </row>
    <row r="17" spans="1:15">
      <c r="A17" s="56" t="s">
        <v>128</v>
      </c>
      <c r="B17" s="6">
        <v>136900</v>
      </c>
      <c r="C17" s="41">
        <v>0.03</v>
      </c>
      <c r="D17" s="6">
        <v>158</v>
      </c>
      <c r="E17" s="41">
        <v>3.2000000000000001E-2</v>
      </c>
      <c r="F17" s="6"/>
      <c r="G17" s="6"/>
      <c r="H17" s="6"/>
      <c r="I17" s="6"/>
      <c r="J17" s="6"/>
      <c r="K17" s="6"/>
      <c r="L17" s="6"/>
      <c r="M17" s="6"/>
      <c r="N17" s="6"/>
      <c r="O17" s="6"/>
    </row>
    <row r="18" spans="1:15">
      <c r="A18" s="6"/>
      <c r="B18" s="6"/>
      <c r="C18" s="6"/>
      <c r="D18" s="6"/>
      <c r="E18" s="6"/>
      <c r="F18" s="6"/>
      <c r="G18" s="6"/>
      <c r="H18" s="6"/>
      <c r="I18" s="6"/>
      <c r="J18" s="6"/>
      <c r="K18" s="6"/>
      <c r="L18" s="6"/>
      <c r="M18" s="6"/>
      <c r="N18" s="6"/>
      <c r="O18" s="6"/>
    </row>
    <row r="19" spans="1:15">
      <c r="A19" s="6" t="s">
        <v>290</v>
      </c>
      <c r="B19" s="6"/>
      <c r="C19" s="6"/>
      <c r="D19" s="6"/>
      <c r="E19" s="6"/>
      <c r="F19" s="6"/>
      <c r="G19" s="6"/>
      <c r="H19" s="6"/>
      <c r="I19" s="6"/>
      <c r="J19" s="6"/>
      <c r="K19" s="6"/>
      <c r="L19" s="6"/>
      <c r="M19" s="6"/>
      <c r="N19" s="6"/>
      <c r="O19" s="6"/>
    </row>
    <row r="20" spans="1:15" ht="14.5" thickBot="1">
      <c r="A20" s="6"/>
      <c r="B20" s="6"/>
      <c r="C20" s="6"/>
      <c r="D20" s="6"/>
      <c r="E20" s="6"/>
      <c r="F20" s="6"/>
      <c r="G20" s="6"/>
      <c r="H20" s="6"/>
      <c r="I20" s="6"/>
      <c r="J20" s="6"/>
      <c r="K20" s="6"/>
      <c r="L20" s="6"/>
      <c r="M20" s="6"/>
      <c r="N20" s="6"/>
      <c r="O20" s="6"/>
    </row>
    <row r="21" spans="1:15" ht="14.5">
      <c r="A21" s="57" t="s">
        <v>291</v>
      </c>
      <c r="B21" s="57"/>
      <c r="C21" s="6"/>
      <c r="D21" s="6"/>
      <c r="E21" s="6"/>
      <c r="F21" s="6"/>
      <c r="G21" s="6"/>
      <c r="H21" s="6"/>
      <c r="I21" s="6"/>
      <c r="J21" s="6"/>
      <c r="K21" s="6"/>
      <c r="L21" s="6"/>
      <c r="M21" s="6"/>
      <c r="N21" s="6"/>
      <c r="O21" s="6"/>
    </row>
    <row r="22" spans="1:15">
      <c r="A22" s="6" t="s">
        <v>292</v>
      </c>
      <c r="B22" s="6">
        <v>0.99806315460876416</v>
      </c>
      <c r="C22" s="6"/>
      <c r="D22" s="6"/>
      <c r="E22" s="6"/>
      <c r="F22" s="6"/>
      <c r="G22" s="6"/>
      <c r="H22" s="6"/>
      <c r="I22" s="6"/>
      <c r="J22" s="6"/>
      <c r="K22" s="6"/>
      <c r="L22" s="6"/>
      <c r="M22" s="6"/>
      <c r="N22" s="6"/>
      <c r="O22" s="6"/>
    </row>
    <row r="23" spans="1:15">
      <c r="A23" s="6" t="s">
        <v>293</v>
      </c>
      <c r="B23" s="6">
        <v>0.9961300605875979</v>
      </c>
      <c r="C23" s="6"/>
      <c r="D23" s="6"/>
      <c r="E23" s="6"/>
      <c r="F23" s="6"/>
      <c r="G23" s="6"/>
      <c r="H23" s="6"/>
      <c r="I23" s="6"/>
      <c r="J23" s="6"/>
      <c r="K23" s="6"/>
      <c r="L23" s="6"/>
      <c r="M23" s="6"/>
      <c r="N23" s="6"/>
      <c r="O23" s="6"/>
    </row>
    <row r="24" spans="1:15">
      <c r="A24" s="6" t="s">
        <v>294</v>
      </c>
      <c r="B24" s="6">
        <v>0.99419509088139679</v>
      </c>
      <c r="C24" s="6"/>
      <c r="D24" s="6"/>
      <c r="E24" s="6"/>
      <c r="F24" s="6"/>
      <c r="G24" s="6"/>
      <c r="H24" s="6"/>
      <c r="I24" s="6"/>
      <c r="J24" s="6"/>
      <c r="K24" s="6"/>
      <c r="L24" s="6"/>
      <c r="M24" s="6"/>
      <c r="N24" s="6"/>
      <c r="O24" s="6"/>
    </row>
    <row r="25" spans="1:15">
      <c r="A25" s="6" t="s">
        <v>295</v>
      </c>
      <c r="B25" s="6">
        <v>302.20906116735881</v>
      </c>
      <c r="C25" s="6"/>
      <c r="D25" s="6"/>
      <c r="E25" s="6"/>
      <c r="F25" s="6"/>
      <c r="G25" s="6"/>
      <c r="H25" s="6"/>
      <c r="I25" s="6"/>
      <c r="J25" s="6"/>
      <c r="K25" s="6"/>
      <c r="L25" s="6"/>
      <c r="M25" s="6"/>
      <c r="N25" s="6"/>
      <c r="O25" s="6"/>
    </row>
    <row r="26" spans="1:15" ht="14.5" thickBot="1">
      <c r="A26" s="58" t="s">
        <v>296</v>
      </c>
      <c r="B26" s="58">
        <v>4</v>
      </c>
      <c r="C26" s="6"/>
      <c r="D26" s="6"/>
      <c r="E26" s="6"/>
      <c r="F26" s="6"/>
      <c r="G26" s="6"/>
      <c r="H26" s="6"/>
      <c r="I26" s="6"/>
      <c r="J26" s="6"/>
      <c r="K26" s="6"/>
      <c r="L26" s="6"/>
      <c r="M26" s="6"/>
      <c r="N26" s="6"/>
      <c r="O26" s="6"/>
    </row>
    <row r="27" spans="1:15">
      <c r="A27" s="6"/>
      <c r="B27" s="6"/>
      <c r="C27" s="6"/>
      <c r="D27" s="6"/>
      <c r="E27" s="6"/>
      <c r="F27" s="6"/>
      <c r="G27" s="6"/>
      <c r="H27" s="6"/>
      <c r="I27" s="6"/>
      <c r="J27" s="6"/>
      <c r="K27" s="6"/>
      <c r="L27" s="6"/>
      <c r="M27" s="6"/>
      <c r="N27" s="6"/>
      <c r="O27" s="6"/>
    </row>
    <row r="28" spans="1:15" ht="14.5" thickBot="1">
      <c r="A28" s="6" t="s">
        <v>297</v>
      </c>
      <c r="B28" s="6"/>
      <c r="C28" s="6"/>
      <c r="D28" s="6"/>
      <c r="E28" s="6"/>
      <c r="F28" s="6"/>
      <c r="G28" s="6"/>
      <c r="H28" s="6"/>
      <c r="I28" s="6"/>
      <c r="J28" s="6"/>
      <c r="K28" s="6"/>
      <c r="L28" s="6"/>
      <c r="M28" s="6"/>
      <c r="N28" s="6"/>
      <c r="O28" s="6"/>
    </row>
    <row r="29" spans="1:15" ht="14.5">
      <c r="A29" s="59"/>
      <c r="B29" s="59" t="s">
        <v>302</v>
      </c>
      <c r="C29" s="59" t="s">
        <v>303</v>
      </c>
      <c r="D29" s="59" t="s">
        <v>304</v>
      </c>
      <c r="E29" s="59" t="s">
        <v>305</v>
      </c>
      <c r="F29" s="59" t="s">
        <v>306</v>
      </c>
      <c r="G29" s="6"/>
      <c r="H29" s="6"/>
      <c r="I29" s="6"/>
      <c r="J29" s="6"/>
      <c r="K29" s="6"/>
      <c r="L29" s="6"/>
      <c r="M29" s="6"/>
      <c r="N29" s="6"/>
      <c r="O29" s="6"/>
    </row>
    <row r="30" spans="1:15">
      <c r="A30" s="6" t="s">
        <v>298</v>
      </c>
      <c r="B30" s="6">
        <v>1</v>
      </c>
      <c r="C30" s="6">
        <v>47017208.366696686</v>
      </c>
      <c r="D30" s="6">
        <v>47017208.366696686</v>
      </c>
      <c r="E30" s="6">
        <v>514.80395656598171</v>
      </c>
      <c r="F30" s="6">
        <v>1.9368453912357911E-3</v>
      </c>
      <c r="G30" s="6"/>
      <c r="H30" s="6"/>
      <c r="I30" s="6"/>
      <c r="J30" s="6"/>
      <c r="K30" s="6"/>
      <c r="L30" s="6"/>
      <c r="M30" s="6"/>
      <c r="N30" s="6"/>
      <c r="O30" s="6"/>
    </row>
    <row r="31" spans="1:15">
      <c r="A31" s="6" t="s">
        <v>299</v>
      </c>
      <c r="B31" s="6">
        <v>2</v>
      </c>
      <c r="C31" s="6">
        <v>182660.63330331282</v>
      </c>
      <c r="D31" s="6">
        <v>91330.316651656409</v>
      </c>
      <c r="E31" s="6"/>
      <c r="F31" s="6"/>
      <c r="G31" s="6"/>
      <c r="H31" s="6"/>
      <c r="I31" s="6"/>
      <c r="J31" s="6"/>
      <c r="K31" s="6"/>
      <c r="L31" s="6"/>
      <c r="M31" s="6"/>
      <c r="N31" s="6"/>
      <c r="O31" s="6"/>
    </row>
    <row r="32" spans="1:15" ht="14.5" thickBot="1">
      <c r="A32" s="58" t="s">
        <v>300</v>
      </c>
      <c r="B32" s="58">
        <v>3</v>
      </c>
      <c r="C32" s="58">
        <v>47199869</v>
      </c>
      <c r="D32" s="58"/>
      <c r="E32" s="58"/>
      <c r="F32" s="58"/>
      <c r="G32" s="6"/>
      <c r="H32" s="6"/>
      <c r="I32" s="6"/>
      <c r="J32" s="6"/>
      <c r="K32" s="6"/>
      <c r="L32" s="6"/>
      <c r="M32" s="6"/>
      <c r="N32" s="6"/>
      <c r="O32" s="6"/>
    </row>
    <row r="33" spans="1:15" ht="14.5" thickBot="1">
      <c r="A33" s="6"/>
      <c r="B33" s="6"/>
      <c r="C33" s="6"/>
      <c r="D33" s="6"/>
      <c r="E33" s="6"/>
      <c r="F33" s="6"/>
      <c r="G33" s="6"/>
      <c r="H33" s="6"/>
      <c r="I33" s="6"/>
      <c r="J33" s="6"/>
      <c r="K33" s="6"/>
      <c r="L33" s="6"/>
      <c r="M33" s="6"/>
      <c r="N33" s="6"/>
      <c r="O33" s="6"/>
    </row>
    <row r="34" spans="1:15" ht="14.5">
      <c r="A34" s="59"/>
      <c r="B34" s="59" t="s">
        <v>307</v>
      </c>
      <c r="C34" s="59" t="s">
        <v>295</v>
      </c>
      <c r="D34" s="59" t="s">
        <v>308</v>
      </c>
      <c r="E34" s="59" t="s">
        <v>309</v>
      </c>
      <c r="F34" s="59" t="s">
        <v>310</v>
      </c>
      <c r="G34" s="59" t="s">
        <v>311</v>
      </c>
      <c r="H34" s="59" t="s">
        <v>312</v>
      </c>
      <c r="I34" s="59" t="s">
        <v>313</v>
      </c>
      <c r="J34" s="6"/>
      <c r="K34" s="6"/>
      <c r="L34" s="6"/>
      <c r="M34" s="6"/>
      <c r="N34" s="6"/>
      <c r="O34" s="6"/>
    </row>
    <row r="35" spans="1:15">
      <c r="A35" s="6" t="s">
        <v>301</v>
      </c>
      <c r="B35" s="6">
        <v>-46177.127473650879</v>
      </c>
      <c r="C35" s="6">
        <v>3078.8889049378586</v>
      </c>
      <c r="D35" s="6">
        <v>-14.997984305180012</v>
      </c>
      <c r="E35" s="6">
        <v>4.4162115700728732E-3</v>
      </c>
      <c r="F35" s="6">
        <v>-59424.517225077092</v>
      </c>
      <c r="G35" s="6">
        <v>-32929.737722224665</v>
      </c>
      <c r="H35" s="6">
        <v>-59424.517225077092</v>
      </c>
      <c r="I35" s="6">
        <v>-32929.737722224665</v>
      </c>
      <c r="J35" s="6"/>
      <c r="K35" s="6"/>
      <c r="L35" s="6"/>
      <c r="M35" s="6"/>
      <c r="N35" s="6"/>
      <c r="O35" s="6"/>
    </row>
    <row r="36" spans="1:15" ht="14.5" thickBot="1">
      <c r="A36" s="58">
        <v>84900</v>
      </c>
      <c r="B36" s="58">
        <v>0.67659275125964491</v>
      </c>
      <c r="C36" s="58">
        <v>2.9819915096860484E-2</v>
      </c>
      <c r="D36" s="58">
        <v>22.689291671755239</v>
      </c>
      <c r="E36" s="58">
        <v>1.9368453912357916E-3</v>
      </c>
      <c r="F36" s="58">
        <v>0.54828801216724088</v>
      </c>
      <c r="G36" s="58">
        <v>0.80489749035204894</v>
      </c>
      <c r="H36" s="58">
        <v>0.54828801216724088</v>
      </c>
      <c r="I36" s="58">
        <v>0.80489749035204894</v>
      </c>
      <c r="J36" s="6"/>
      <c r="K36" s="6"/>
      <c r="L36" s="6"/>
      <c r="M36" s="6"/>
      <c r="N36" s="6"/>
      <c r="O36" s="6"/>
    </row>
    <row r="37" spans="1:15">
      <c r="A37" s="6"/>
      <c r="B37" s="6"/>
      <c r="C37" s="6"/>
      <c r="D37" s="6"/>
      <c r="E37" s="6"/>
      <c r="F37" s="6"/>
      <c r="G37" s="6"/>
      <c r="H37" s="6"/>
      <c r="I37" s="6"/>
      <c r="J37" s="6"/>
      <c r="K37" s="6"/>
      <c r="L37" s="6"/>
      <c r="M37" s="6"/>
      <c r="N37" s="6"/>
      <c r="O37" s="6"/>
    </row>
    <row r="38" spans="1:15">
      <c r="A38" s="6" t="s">
        <v>290</v>
      </c>
      <c r="B38" s="6"/>
      <c r="C38" s="6"/>
      <c r="D38" s="6"/>
      <c r="E38" s="6"/>
      <c r="F38" s="6"/>
      <c r="G38" s="6"/>
      <c r="H38" s="6"/>
      <c r="I38" s="6"/>
      <c r="J38" s="6"/>
      <c r="K38" s="6"/>
      <c r="L38" s="6"/>
      <c r="M38" s="6"/>
      <c r="N38" s="6"/>
      <c r="O38" s="6"/>
    </row>
    <row r="39" spans="1:15" ht="14.5" thickBot="1">
      <c r="A39" s="6"/>
      <c r="B39" s="6"/>
      <c r="C39" s="6"/>
      <c r="D39" s="6"/>
      <c r="E39" s="6"/>
      <c r="F39" s="6"/>
      <c r="G39" s="6"/>
      <c r="H39" s="6"/>
      <c r="I39" s="6"/>
      <c r="J39" s="6"/>
      <c r="K39" s="6"/>
      <c r="L39" s="6"/>
      <c r="M39" s="6"/>
      <c r="N39" s="6"/>
      <c r="O39" s="6"/>
    </row>
    <row r="40" spans="1:15" ht="14.5">
      <c r="A40" s="57" t="s">
        <v>291</v>
      </c>
      <c r="B40" s="57"/>
      <c r="C40" s="6"/>
      <c r="D40" s="6"/>
      <c r="E40" s="6"/>
      <c r="F40" s="6"/>
      <c r="G40" s="6"/>
      <c r="H40" s="6"/>
      <c r="I40" s="6"/>
      <c r="J40" s="6"/>
      <c r="K40" s="6"/>
      <c r="L40" s="6"/>
      <c r="M40" s="6"/>
      <c r="N40" s="6"/>
      <c r="O40" s="6"/>
    </row>
    <row r="41" spans="1:15">
      <c r="A41" s="6" t="s">
        <v>292</v>
      </c>
      <c r="B41" s="6">
        <v>0.99814482720125319</v>
      </c>
      <c r="C41" s="6"/>
      <c r="D41" s="6"/>
      <c r="E41" s="6"/>
      <c r="F41" s="6"/>
      <c r="G41" s="6"/>
      <c r="H41" s="6"/>
      <c r="I41" s="6"/>
      <c r="J41" s="6"/>
      <c r="K41" s="6"/>
      <c r="L41" s="6"/>
      <c r="M41" s="6"/>
      <c r="N41" s="6"/>
      <c r="O41" s="6"/>
    </row>
    <row r="42" spans="1:15">
      <c r="A42" s="6" t="s">
        <v>293</v>
      </c>
      <c r="B42" s="6">
        <v>0.99629309606861949</v>
      </c>
      <c r="C42" s="6"/>
      <c r="D42" s="6"/>
      <c r="E42" s="6"/>
      <c r="F42" s="6"/>
      <c r="G42" s="6"/>
      <c r="H42" s="6"/>
      <c r="I42" s="6"/>
      <c r="J42" s="6"/>
      <c r="K42" s="6"/>
      <c r="L42" s="6"/>
      <c r="M42" s="6"/>
      <c r="N42" s="6"/>
      <c r="O42" s="6"/>
    </row>
    <row r="43" spans="1:15">
      <c r="A43" s="6" t="s">
        <v>294</v>
      </c>
      <c r="B43" s="6">
        <v>0.99443964410292929</v>
      </c>
      <c r="C43" s="6"/>
      <c r="D43" s="6"/>
      <c r="E43" s="6"/>
      <c r="F43" s="6"/>
      <c r="G43" s="6"/>
      <c r="H43" s="6"/>
      <c r="I43" s="6"/>
      <c r="J43" s="6"/>
      <c r="K43" s="6"/>
      <c r="L43" s="6"/>
      <c r="M43" s="6"/>
      <c r="N43" s="6"/>
      <c r="O43" s="6"/>
    </row>
    <row r="44" spans="1:15">
      <c r="A44" s="6" t="s">
        <v>295</v>
      </c>
      <c r="B44" s="6">
        <v>295.77472843089691</v>
      </c>
      <c r="C44" s="6"/>
      <c r="D44" s="6"/>
      <c r="E44" s="6"/>
      <c r="F44" s="6"/>
      <c r="G44" s="6"/>
      <c r="H44" s="6"/>
      <c r="I44" s="6"/>
      <c r="J44" s="6"/>
      <c r="K44" s="6"/>
      <c r="L44" s="6"/>
      <c r="M44" s="6"/>
      <c r="N44" s="6"/>
      <c r="O44" s="6"/>
    </row>
    <row r="45" spans="1:15" ht="14.5" thickBot="1">
      <c r="A45" s="58" t="s">
        <v>296</v>
      </c>
      <c r="B45" s="58">
        <v>4</v>
      </c>
      <c r="C45" s="6"/>
      <c r="D45" s="6"/>
      <c r="E45" s="6"/>
      <c r="F45" s="6"/>
      <c r="G45" s="6"/>
      <c r="H45" s="6"/>
      <c r="I45" s="6"/>
      <c r="J45" s="6"/>
      <c r="K45" s="6"/>
      <c r="L45" s="6"/>
      <c r="M45" s="6"/>
      <c r="N45" s="6"/>
      <c r="O45" s="6"/>
    </row>
    <row r="46" spans="1:15">
      <c r="A46" s="6"/>
      <c r="B46" s="6"/>
      <c r="C46" s="6"/>
      <c r="D46" s="6"/>
      <c r="E46" s="6"/>
      <c r="F46" s="6"/>
      <c r="G46" s="6"/>
      <c r="H46" s="6"/>
      <c r="I46" s="6"/>
      <c r="J46" s="6"/>
      <c r="K46" s="6"/>
      <c r="L46" s="6"/>
      <c r="M46" s="6"/>
      <c r="N46" s="6"/>
      <c r="O46" s="6"/>
    </row>
    <row r="47" spans="1:15" ht="14.5" thickBot="1">
      <c r="A47" s="6" t="s">
        <v>297</v>
      </c>
      <c r="B47" s="6"/>
      <c r="C47" s="6"/>
      <c r="D47" s="6"/>
      <c r="E47" s="6"/>
      <c r="F47" s="6"/>
      <c r="G47" s="6"/>
      <c r="H47" s="6"/>
      <c r="I47" s="6"/>
      <c r="J47" s="6"/>
      <c r="K47" s="6"/>
      <c r="L47" s="6"/>
      <c r="M47" s="6"/>
      <c r="N47" s="6"/>
      <c r="O47" s="6"/>
    </row>
    <row r="48" spans="1:15" ht="14.5">
      <c r="A48" s="59"/>
      <c r="B48" s="59" t="s">
        <v>302</v>
      </c>
      <c r="C48" s="59" t="s">
        <v>303</v>
      </c>
      <c r="D48" s="59" t="s">
        <v>304</v>
      </c>
      <c r="E48" s="59" t="s">
        <v>305</v>
      </c>
      <c r="F48" s="59" t="s">
        <v>306</v>
      </c>
      <c r="G48" s="6"/>
      <c r="H48" s="6"/>
      <c r="I48" s="6"/>
      <c r="J48" s="6"/>
      <c r="K48" s="6"/>
      <c r="L48" s="6"/>
      <c r="M48" s="6"/>
      <c r="N48" s="6"/>
      <c r="O48" s="6"/>
    </row>
    <row r="49" spans="1:15">
      <c r="A49" s="6" t="s">
        <v>298</v>
      </c>
      <c r="B49" s="6">
        <v>1</v>
      </c>
      <c r="C49" s="6">
        <v>47024903.620043255</v>
      </c>
      <c r="D49" s="6">
        <v>47024903.620043255</v>
      </c>
      <c r="E49" s="6">
        <v>537.5338096218768</v>
      </c>
      <c r="F49" s="6">
        <v>1.8551727987468241E-3</v>
      </c>
      <c r="G49" s="6"/>
      <c r="H49" s="6"/>
      <c r="I49" s="6"/>
      <c r="J49" s="6"/>
      <c r="K49" s="6"/>
      <c r="L49" s="6"/>
      <c r="M49" s="6"/>
      <c r="N49" s="6"/>
      <c r="O49" s="6"/>
    </row>
    <row r="50" spans="1:15">
      <c r="A50" s="6" t="s">
        <v>299</v>
      </c>
      <c r="B50" s="6">
        <v>2</v>
      </c>
      <c r="C50" s="6">
        <v>174965.37995674167</v>
      </c>
      <c r="D50" s="6">
        <v>87482.689978370836</v>
      </c>
      <c r="E50" s="6"/>
      <c r="F50" s="6"/>
      <c r="G50" s="6"/>
      <c r="H50" s="6"/>
      <c r="I50" s="6"/>
      <c r="J50" s="6"/>
      <c r="K50" s="6"/>
      <c r="L50" s="6"/>
      <c r="M50" s="6"/>
      <c r="N50" s="6"/>
      <c r="O50" s="6"/>
    </row>
    <row r="51" spans="1:15" ht="14.5" thickBot="1">
      <c r="A51" s="58" t="s">
        <v>300</v>
      </c>
      <c r="B51" s="58">
        <v>3</v>
      </c>
      <c r="C51" s="58">
        <v>47199869</v>
      </c>
      <c r="D51" s="58"/>
      <c r="E51" s="58"/>
      <c r="F51" s="58"/>
      <c r="G51" s="6"/>
      <c r="H51" s="6"/>
      <c r="I51" s="6"/>
      <c r="J51" s="6"/>
      <c r="K51" s="6"/>
      <c r="L51" s="6"/>
      <c r="M51" s="6"/>
      <c r="N51" s="6"/>
      <c r="O51" s="6"/>
    </row>
    <row r="52" spans="1:15" ht="14.5" thickBot="1">
      <c r="A52" s="6"/>
      <c r="B52" s="6"/>
      <c r="C52" s="6"/>
      <c r="D52" s="6"/>
      <c r="E52" s="6"/>
      <c r="F52" s="6"/>
      <c r="G52" s="6"/>
      <c r="H52" s="6"/>
      <c r="I52" s="6"/>
      <c r="J52" s="6"/>
      <c r="K52" s="6"/>
      <c r="L52" s="6"/>
      <c r="M52" s="6"/>
      <c r="N52" s="6"/>
      <c r="O52" s="6"/>
    </row>
    <row r="53" spans="1:15" ht="14.5">
      <c r="A53" s="59"/>
      <c r="B53" s="59" t="s">
        <v>307</v>
      </c>
      <c r="C53" s="59" t="s">
        <v>295</v>
      </c>
      <c r="D53" s="59" t="s">
        <v>308</v>
      </c>
      <c r="E53" s="59" t="s">
        <v>309</v>
      </c>
      <c r="F53" s="59" t="s">
        <v>310</v>
      </c>
      <c r="G53" s="59" t="s">
        <v>311</v>
      </c>
      <c r="H53" s="59" t="s">
        <v>312</v>
      </c>
      <c r="I53" s="59" t="s">
        <v>313</v>
      </c>
      <c r="J53" s="6"/>
      <c r="K53" s="6"/>
      <c r="L53" s="6"/>
      <c r="M53" s="6"/>
      <c r="N53" s="6"/>
      <c r="O53" s="6"/>
    </row>
    <row r="54" spans="1:15">
      <c r="A54" s="6" t="s">
        <v>301</v>
      </c>
      <c r="B54" s="6">
        <v>-21055.14563806777</v>
      </c>
      <c r="C54" s="6">
        <v>1931.5734235644406</v>
      </c>
      <c r="D54" s="6">
        <v>-10.900515290386181</v>
      </c>
      <c r="E54" s="6">
        <v>8.3112291264726777E-3</v>
      </c>
      <c r="F54" s="6">
        <v>-29366.035301678829</v>
      </c>
      <c r="G54" s="6">
        <v>-12744.255974456713</v>
      </c>
      <c r="H54" s="6">
        <v>-29366.035301678829</v>
      </c>
      <c r="I54" s="6">
        <v>-12744.255974456713</v>
      </c>
      <c r="J54" s="6"/>
      <c r="K54" s="6"/>
      <c r="L54" s="6"/>
      <c r="M54" s="6"/>
      <c r="N54" s="6"/>
      <c r="O54" s="6"/>
    </row>
    <row r="55" spans="1:15" ht="14.5" thickBot="1">
      <c r="A55" s="58">
        <v>103</v>
      </c>
      <c r="B55" s="58">
        <v>368.26099495313628</v>
      </c>
      <c r="C55" s="58">
        <v>15.883742190662755</v>
      </c>
      <c r="D55" s="58">
        <v>23.184775384330916</v>
      </c>
      <c r="E55" s="58">
        <v>1.8551727987468241E-3</v>
      </c>
      <c r="F55" s="58">
        <v>299.91876825784448</v>
      </c>
      <c r="G55" s="58">
        <v>436.60322164842808</v>
      </c>
      <c r="H55" s="58">
        <v>299.91876825784448</v>
      </c>
      <c r="I55" s="58">
        <v>436.60322164842808</v>
      </c>
      <c r="J55" s="6"/>
      <c r="K55" s="6"/>
      <c r="L55" s="6"/>
      <c r="M55" s="6"/>
      <c r="N55" s="6"/>
      <c r="O55" s="6"/>
    </row>
    <row r="56" spans="1:15">
      <c r="A56" s="6"/>
      <c r="B56" s="6"/>
      <c r="C56" s="6"/>
      <c r="D56" s="6"/>
      <c r="E56" s="6"/>
      <c r="F56" s="6"/>
      <c r="G56" s="6"/>
      <c r="H56" s="6"/>
      <c r="I56" s="6"/>
      <c r="J56" s="6"/>
      <c r="K56" s="6"/>
      <c r="L56" s="6"/>
      <c r="M56" s="6"/>
      <c r="N56" s="6"/>
      <c r="O56" s="6"/>
    </row>
    <row r="57" spans="1:15">
      <c r="A57" s="6" t="s">
        <v>290</v>
      </c>
      <c r="B57" s="6"/>
      <c r="C57" s="6"/>
      <c r="D57" s="6"/>
      <c r="E57" s="6"/>
      <c r="F57" s="6"/>
      <c r="G57" s="6"/>
      <c r="H57" s="6"/>
      <c r="I57" s="6"/>
      <c r="J57" s="6"/>
      <c r="K57" s="6"/>
      <c r="L57" s="6"/>
      <c r="M57" s="6"/>
      <c r="N57" s="6"/>
      <c r="O57" s="6"/>
    </row>
    <row r="58" spans="1:15" ht="14.5" thickBot="1">
      <c r="A58" s="6"/>
      <c r="B58" s="6"/>
      <c r="C58" s="6"/>
      <c r="D58" s="6"/>
      <c r="E58" s="6"/>
      <c r="F58" s="6"/>
      <c r="G58" s="6"/>
      <c r="H58" s="6"/>
      <c r="I58" s="6"/>
      <c r="J58" s="6"/>
      <c r="K58" s="6"/>
      <c r="L58" s="6"/>
      <c r="M58" s="6"/>
      <c r="N58" s="6"/>
      <c r="O58" s="6"/>
    </row>
    <row r="59" spans="1:15" ht="14.5">
      <c r="A59" s="57" t="s">
        <v>291</v>
      </c>
      <c r="B59" s="57"/>
      <c r="C59" s="6"/>
      <c r="D59" s="6"/>
      <c r="E59" s="6"/>
      <c r="F59" s="6"/>
      <c r="G59" s="6"/>
      <c r="H59" s="6"/>
      <c r="I59" s="6"/>
      <c r="J59" s="6"/>
      <c r="K59" s="6"/>
      <c r="L59" s="6"/>
      <c r="M59" s="6"/>
      <c r="N59" s="6"/>
      <c r="O59" s="6"/>
    </row>
    <row r="60" spans="1:15">
      <c r="A60" s="6" t="s">
        <v>292</v>
      </c>
      <c r="B60" s="6">
        <v>0.99688926459796923</v>
      </c>
      <c r="C60" s="6"/>
      <c r="D60" s="6"/>
      <c r="E60" s="6"/>
      <c r="F60" s="6"/>
      <c r="G60" s="6"/>
      <c r="H60" s="6"/>
      <c r="I60" s="6"/>
      <c r="J60" s="6"/>
      <c r="K60" s="6"/>
      <c r="L60" s="6"/>
      <c r="M60" s="6"/>
      <c r="N60" s="6"/>
      <c r="O60" s="6"/>
    </row>
    <row r="61" spans="1:15">
      <c r="A61" s="6" t="s">
        <v>293</v>
      </c>
      <c r="B61" s="6">
        <v>0.99378820587067984</v>
      </c>
      <c r="C61" s="6"/>
      <c r="D61" s="6"/>
      <c r="E61" s="6"/>
      <c r="F61" s="6"/>
      <c r="G61" s="6"/>
      <c r="H61" s="6"/>
      <c r="I61" s="6"/>
      <c r="J61" s="6"/>
      <c r="K61" s="6"/>
      <c r="L61" s="6"/>
      <c r="M61" s="6"/>
      <c r="N61" s="6"/>
      <c r="O61" s="6"/>
    </row>
    <row r="62" spans="1:15">
      <c r="A62" s="6" t="s">
        <v>294</v>
      </c>
      <c r="B62" s="6">
        <v>0.99068230880601971</v>
      </c>
      <c r="C62" s="6"/>
      <c r="D62" s="6"/>
      <c r="E62" s="6"/>
      <c r="F62" s="6"/>
      <c r="G62" s="6"/>
      <c r="H62" s="6"/>
      <c r="I62" s="6"/>
      <c r="J62" s="6"/>
      <c r="K62" s="6"/>
      <c r="L62" s="6"/>
      <c r="M62" s="6"/>
      <c r="N62" s="6"/>
      <c r="O62" s="6"/>
    </row>
    <row r="63" spans="1:15">
      <c r="A63" s="6" t="s">
        <v>295</v>
      </c>
      <c r="B63" s="6">
        <v>382.88109718219232</v>
      </c>
      <c r="C63" s="6"/>
      <c r="D63" s="6"/>
      <c r="E63" s="6"/>
      <c r="F63" s="6"/>
      <c r="G63" s="6"/>
      <c r="H63" s="6"/>
      <c r="I63" s="6"/>
      <c r="J63" s="6"/>
      <c r="K63" s="6"/>
      <c r="L63" s="6"/>
      <c r="M63" s="6"/>
      <c r="N63" s="6"/>
      <c r="O63" s="6"/>
    </row>
    <row r="64" spans="1:15" ht="14.5" thickBot="1">
      <c r="A64" s="58" t="s">
        <v>296</v>
      </c>
      <c r="B64" s="58">
        <v>4</v>
      </c>
      <c r="C64" s="6"/>
      <c r="D64" s="6"/>
      <c r="E64" s="6"/>
      <c r="F64" s="6"/>
      <c r="G64" s="6"/>
      <c r="H64" s="6"/>
      <c r="I64" s="6"/>
      <c r="J64" s="6"/>
      <c r="K64" s="6"/>
      <c r="L64" s="6"/>
      <c r="M64" s="6"/>
      <c r="N64" s="6"/>
      <c r="O64" s="6"/>
    </row>
    <row r="65" spans="1:15">
      <c r="A65" s="6"/>
      <c r="B65" s="6"/>
      <c r="C65" s="6"/>
      <c r="D65" s="6"/>
      <c r="E65" s="6"/>
      <c r="F65" s="6"/>
      <c r="G65" s="6"/>
      <c r="H65" s="6"/>
      <c r="I65" s="6"/>
      <c r="J65" s="6"/>
      <c r="K65" s="6"/>
      <c r="L65" s="6"/>
      <c r="M65" s="6"/>
      <c r="N65" s="6"/>
      <c r="O65" s="6"/>
    </row>
    <row r="66" spans="1:15" ht="14.5" thickBot="1">
      <c r="A66" s="6" t="s">
        <v>297</v>
      </c>
      <c r="B66" s="6"/>
      <c r="C66" s="6"/>
      <c r="D66" s="6"/>
      <c r="E66" s="6"/>
      <c r="F66" s="6"/>
      <c r="G66" s="6"/>
      <c r="H66" s="6"/>
      <c r="I66" s="6"/>
      <c r="J66" s="6"/>
      <c r="K66" s="6"/>
      <c r="L66" s="6"/>
      <c r="M66" s="6"/>
      <c r="N66" s="6"/>
      <c r="O66" s="6"/>
    </row>
    <row r="67" spans="1:15" ht="14.5">
      <c r="A67" s="59"/>
      <c r="B67" s="59" t="s">
        <v>302</v>
      </c>
      <c r="C67" s="59" t="s">
        <v>303</v>
      </c>
      <c r="D67" s="59" t="s">
        <v>304</v>
      </c>
      <c r="E67" s="59" t="s">
        <v>305</v>
      </c>
      <c r="F67" s="59" t="s">
        <v>306</v>
      </c>
      <c r="G67" s="6"/>
      <c r="H67" s="6"/>
      <c r="I67" s="6"/>
      <c r="J67" s="6"/>
      <c r="K67" s="6"/>
      <c r="L67" s="6"/>
      <c r="M67" s="6"/>
      <c r="N67" s="6"/>
      <c r="O67" s="6"/>
    </row>
    <row r="68" spans="1:15">
      <c r="A68" s="6" t="s">
        <v>298</v>
      </c>
      <c r="B68" s="6">
        <v>1</v>
      </c>
      <c r="C68" s="6">
        <v>46906673.130841121</v>
      </c>
      <c r="D68" s="6">
        <v>46906673.130841121</v>
      </c>
      <c r="E68" s="6">
        <v>319.96817189414793</v>
      </c>
      <c r="F68" s="6">
        <v>3.1107354020307849E-3</v>
      </c>
      <c r="G68" s="6"/>
      <c r="H68" s="6"/>
      <c r="I68" s="6"/>
      <c r="J68" s="6"/>
      <c r="K68" s="6"/>
      <c r="L68" s="6"/>
      <c r="M68" s="6"/>
      <c r="N68" s="6"/>
      <c r="O68" s="6"/>
    </row>
    <row r="69" spans="1:15">
      <c r="A69" s="6" t="s">
        <v>299</v>
      </c>
      <c r="B69" s="6">
        <v>2</v>
      </c>
      <c r="C69" s="6">
        <v>293195.86915887881</v>
      </c>
      <c r="D69" s="6">
        <v>146597.9345794394</v>
      </c>
      <c r="E69" s="6"/>
      <c r="F69" s="6"/>
      <c r="G69" s="6"/>
      <c r="H69" s="6"/>
      <c r="I69" s="6"/>
      <c r="J69" s="6"/>
      <c r="K69" s="6"/>
      <c r="L69" s="6"/>
      <c r="M69" s="6"/>
      <c r="N69" s="6"/>
      <c r="O69" s="6"/>
    </row>
    <row r="70" spans="1:15" ht="14.5" thickBot="1">
      <c r="A70" s="58" t="s">
        <v>300</v>
      </c>
      <c r="B70" s="58">
        <v>3</v>
      </c>
      <c r="C70" s="58">
        <v>47199869</v>
      </c>
      <c r="D70" s="58"/>
      <c r="E70" s="58"/>
      <c r="F70" s="58"/>
      <c r="G70" s="6"/>
      <c r="H70" s="6"/>
      <c r="I70" s="6"/>
      <c r="J70" s="6"/>
      <c r="K70" s="6"/>
      <c r="L70" s="6"/>
      <c r="M70" s="6"/>
      <c r="N70" s="6"/>
      <c r="O70" s="6"/>
    </row>
    <row r="71" spans="1:15" ht="14.5" thickBot="1">
      <c r="A71" s="6"/>
      <c r="B71" s="6"/>
      <c r="C71" s="6"/>
      <c r="D71" s="6"/>
      <c r="E71" s="6"/>
      <c r="F71" s="6"/>
      <c r="G71" s="6"/>
      <c r="H71" s="6"/>
      <c r="I71" s="6"/>
      <c r="J71" s="6"/>
      <c r="K71" s="6"/>
      <c r="L71" s="6"/>
      <c r="M71" s="6"/>
      <c r="N71" s="6"/>
      <c r="O71" s="6"/>
    </row>
    <row r="72" spans="1:15" ht="14.5">
      <c r="A72" s="59"/>
      <c r="B72" s="59" t="s">
        <v>307</v>
      </c>
      <c r="C72" s="59" t="s">
        <v>295</v>
      </c>
      <c r="D72" s="59" t="s">
        <v>308</v>
      </c>
      <c r="E72" s="59" t="s">
        <v>309</v>
      </c>
      <c r="F72" s="59" t="s">
        <v>310</v>
      </c>
      <c r="G72" s="59" t="s">
        <v>311</v>
      </c>
      <c r="H72" s="59" t="s">
        <v>312</v>
      </c>
      <c r="I72" s="59" t="s">
        <v>313</v>
      </c>
      <c r="J72" s="6"/>
      <c r="K72" s="6"/>
      <c r="L72" s="6"/>
      <c r="M72" s="6"/>
      <c r="N72" s="6"/>
      <c r="O72" s="6"/>
    </row>
    <row r="73" spans="1:15">
      <c r="A73" s="6" t="s">
        <v>301</v>
      </c>
      <c r="B73" s="6">
        <v>-349.55140186916105</v>
      </c>
      <c r="C73" s="6">
        <v>1352.3108133607084</v>
      </c>
      <c r="D73" s="6">
        <v>-0.25848451289128571</v>
      </c>
      <c r="E73" s="6">
        <v>0.82020243551758243</v>
      </c>
      <c r="F73" s="6">
        <v>-6168.0752144453309</v>
      </c>
      <c r="G73" s="6">
        <v>5468.9724107070087</v>
      </c>
      <c r="H73" s="6">
        <v>-6168.0752144453309</v>
      </c>
      <c r="I73" s="6">
        <v>5468.9724107070087</v>
      </c>
      <c r="J73" s="6"/>
      <c r="K73" s="6"/>
      <c r="L73" s="6"/>
      <c r="M73" s="6"/>
      <c r="N73" s="6"/>
      <c r="O73" s="6"/>
    </row>
    <row r="74" spans="1:15" ht="14.5" thickBot="1">
      <c r="A74" s="58">
        <v>37000</v>
      </c>
      <c r="B74" s="58">
        <v>0.44140186915887852</v>
      </c>
      <c r="C74" s="58">
        <v>2.4676341840790941E-2</v>
      </c>
      <c r="D74" s="58">
        <v>17.887654175272619</v>
      </c>
      <c r="E74" s="58">
        <v>3.110735402030784E-3</v>
      </c>
      <c r="F74" s="58">
        <v>0.33522813957736847</v>
      </c>
      <c r="G74" s="58">
        <v>0.54757559874038852</v>
      </c>
      <c r="H74" s="58">
        <v>0.33522813957736847</v>
      </c>
      <c r="I74" s="58">
        <v>0.54757559874038852</v>
      </c>
      <c r="J74" s="6"/>
      <c r="K74" s="6"/>
      <c r="L74" s="6"/>
      <c r="M74" s="6"/>
      <c r="N74" s="6"/>
      <c r="O74" s="6"/>
    </row>
    <row r="75" spans="1:15">
      <c r="A75" s="6"/>
      <c r="B75" s="6"/>
      <c r="C75" s="6"/>
      <c r="D75" s="6"/>
      <c r="E75" s="6"/>
      <c r="F75" s="6"/>
      <c r="G75" s="6"/>
      <c r="H75" s="6"/>
      <c r="I75" s="6"/>
      <c r="J75" s="6"/>
      <c r="K75" s="6"/>
      <c r="L75" s="6"/>
      <c r="M75" s="6"/>
      <c r="N75" s="6"/>
      <c r="O75" s="6"/>
    </row>
  </sheetData>
  <pageMargins left="0.7" right="0.7" top="0.75" bottom="0.75" header="0.3" footer="0.3"/>
  <pageSetup orientation="portrait" r:id="rId1"/>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4022D-3EE5-48C5-904A-2B1B660D1DBC}">
  <dimension ref="A1:G39"/>
  <sheetViews>
    <sheetView zoomScale="85" workbookViewId="0"/>
  </sheetViews>
  <sheetFormatPr defaultRowHeight="14"/>
  <cols>
    <col min="1" max="1" width="38.75" customWidth="1"/>
    <col min="2" max="2" width="13.83203125" customWidth="1"/>
    <col min="3" max="3" width="12.25" customWidth="1"/>
    <col min="4" max="4" width="12" customWidth="1"/>
    <col min="5" max="5" width="11.1640625" customWidth="1"/>
    <col min="6" max="6" width="11.83203125" customWidth="1"/>
    <col min="7" max="7" width="11.4140625" customWidth="1"/>
  </cols>
  <sheetData>
    <row r="1" spans="1:7">
      <c r="A1" s="193" t="s">
        <v>925</v>
      </c>
      <c r="B1" s="191"/>
    </row>
    <row r="2" spans="1:7">
      <c r="A2" s="5" t="s">
        <v>494</v>
      </c>
      <c r="B2" s="5" t="s">
        <v>464</v>
      </c>
    </row>
    <row r="3" spans="1:7">
      <c r="A3" s="5" t="s">
        <v>926</v>
      </c>
      <c r="B3" s="5" t="s">
        <v>927</v>
      </c>
    </row>
    <row r="4" spans="1:7">
      <c r="A4" s="5" t="s">
        <v>477</v>
      </c>
      <c r="B4" s="41">
        <v>4.4999999999999998E-2</v>
      </c>
    </row>
    <row r="5" spans="1:7">
      <c r="A5" s="160" t="s">
        <v>478</v>
      </c>
      <c r="B5" s="169">
        <v>0.1</v>
      </c>
    </row>
    <row r="6" spans="1:7">
      <c r="A6" s="160" t="s">
        <v>203</v>
      </c>
      <c r="B6" cm="1">
        <f t="array" ref="B6">Table23[Value]</f>
        <v>1.0378472999489652</v>
      </c>
    </row>
    <row r="7" spans="1:7">
      <c r="A7" s="160" t="s">
        <v>114</v>
      </c>
      <c r="B7" s="169">
        <v>0.16</v>
      </c>
    </row>
    <row r="8" spans="1:7">
      <c r="A8" s="160" t="s">
        <v>492</v>
      </c>
      <c r="B8" s="169">
        <v>0.03</v>
      </c>
    </row>
    <row r="9" spans="1:7">
      <c r="A9" s="160" t="s">
        <v>928</v>
      </c>
      <c r="B9" s="169">
        <f>B4+B6*(B5-B4)</f>
        <v>0.10208160149719309</v>
      </c>
    </row>
    <row r="10" spans="1:7">
      <c r="A10" s="160" t="s">
        <v>913</v>
      </c>
      <c r="B10" s="169">
        <f>WACC!B13</f>
        <v>4.4999999999999998E-2</v>
      </c>
    </row>
    <row r="11" spans="1:7">
      <c r="A11" s="160" t="s">
        <v>929</v>
      </c>
      <c r="B11" s="169">
        <f>WACC!B23</f>
        <v>0.95389284444508393</v>
      </c>
    </row>
    <row r="12" spans="1:7">
      <c r="A12" s="160" t="s">
        <v>930</v>
      </c>
      <c r="B12" s="169">
        <f>WACC!B24</f>
        <v>4.6107155554916068E-2</v>
      </c>
    </row>
    <row r="13" spans="1:7">
      <c r="A13" s="160" t="s">
        <v>210</v>
      </c>
      <c r="B13" s="169">
        <f>WACC!B28</f>
        <v>9.9117759697642874E-2</v>
      </c>
    </row>
    <row r="14" spans="1:7">
      <c r="A14" s="160" t="s">
        <v>149</v>
      </c>
      <c r="B14" s="169">
        <v>0.1</v>
      </c>
    </row>
    <row r="15" spans="1:7">
      <c r="A15" s="160" t="s">
        <v>931</v>
      </c>
      <c r="B15" s="169">
        <v>5.5000000000000007E-2</v>
      </c>
    </row>
    <row r="16" spans="1:7">
      <c r="A16" s="160" t="s">
        <v>932</v>
      </c>
      <c r="B16" s="160" t="s">
        <v>124</v>
      </c>
      <c r="C16" s="160" t="s">
        <v>125</v>
      </c>
      <c r="D16" s="160" t="s">
        <v>126</v>
      </c>
      <c r="E16" s="160" t="s">
        <v>127</v>
      </c>
      <c r="F16" s="160" t="s">
        <v>128</v>
      </c>
      <c r="G16" s="160" t="s">
        <v>300</v>
      </c>
    </row>
    <row r="17" spans="1:7">
      <c r="A17" s="160" t="s">
        <v>537</v>
      </c>
      <c r="B17" s="188">
        <f>'Profit Loss'!G4</f>
        <v>31265.370000000003</v>
      </c>
      <c r="C17" s="188">
        <f>'Profit Loss'!H4</f>
        <v>34391.907000000007</v>
      </c>
      <c r="D17" s="188">
        <f>'Profit Loss'!I4</f>
        <v>37487.178630000009</v>
      </c>
      <c r="E17" s="188">
        <f>'Profit Loss'!J4</f>
        <v>40486.152920400011</v>
      </c>
      <c r="F17" s="188">
        <f>'Profit Loss'!K4</f>
        <v>43320.183624828016</v>
      </c>
      <c r="G17" s="188">
        <f t="shared" ref="G17:G25" si="0">SUM(B17:F17)</f>
        <v>186950.79217522801</v>
      </c>
    </row>
    <row r="18" spans="1:7">
      <c r="A18" s="160" t="s">
        <v>212</v>
      </c>
      <c r="B18" s="188">
        <f>'Profit Loss'!G11</f>
        <v>17195.953500000003</v>
      </c>
      <c r="C18" s="188">
        <f>'Profit Loss'!H11</f>
        <v>19259.467920000003</v>
      </c>
      <c r="D18" s="188">
        <f>'Profit Loss'!I11</f>
        <v>21180.255925950005</v>
      </c>
      <c r="E18" s="188">
        <f>'Profit Loss'!J11</f>
        <v>23077.107164628007</v>
      </c>
      <c r="F18" s="188">
        <f>'Profit Loss'!K11</f>
        <v>24909.105584276109</v>
      </c>
      <c r="G18" s="188">
        <f t="shared" si="0"/>
        <v>105621.89009485413</v>
      </c>
    </row>
    <row r="19" spans="1:7">
      <c r="A19" s="160" t="s">
        <v>918</v>
      </c>
      <c r="B19">
        <f>B18*0.84</f>
        <v>14444.600940000002</v>
      </c>
      <c r="C19">
        <f>C18*0.84</f>
        <v>16177.953052800001</v>
      </c>
      <c r="D19">
        <f>D18*0.84</f>
        <v>17791.414977798002</v>
      </c>
      <c r="E19">
        <f>E18*0.84</f>
        <v>19384.770018287527</v>
      </c>
      <c r="F19">
        <f>F18*0.84</f>
        <v>20923.648690791932</v>
      </c>
      <c r="G19" s="188">
        <f t="shared" si="0"/>
        <v>88722.387679677471</v>
      </c>
    </row>
    <row r="20" spans="1:7">
      <c r="A20" s="160" t="s">
        <v>933</v>
      </c>
      <c r="B20" s="188">
        <f>'Profit Loss'!G8</f>
        <v>968.7600000000001</v>
      </c>
      <c r="C20" s="188">
        <f>'Profit Loss'!H8</f>
        <v>1046.2608000000002</v>
      </c>
      <c r="D20" s="188">
        <f>'Profit Loss'!I8</f>
        <v>1129.9616640000004</v>
      </c>
      <c r="E20" s="188">
        <f>'Profit Loss'!J8</f>
        <v>1220.3585971200005</v>
      </c>
      <c r="F20" s="188">
        <f>'Profit Loss'!K8</f>
        <v>1317.9872848896007</v>
      </c>
      <c r="G20" s="188">
        <f t="shared" si="0"/>
        <v>5683.3283460096027</v>
      </c>
    </row>
    <row r="21" spans="1:7">
      <c r="A21" s="160" t="s">
        <v>215</v>
      </c>
      <c r="B21" s="188">
        <f>'Cash Flow'!G31-'Cash Flow'!G32</f>
        <v>258.29999999999995</v>
      </c>
      <c r="C21" s="188">
        <f>'Cash Flow'!H31-'Cash Flow'!H32</f>
        <v>271.21500000000003</v>
      </c>
      <c r="D21" s="188">
        <f>'Cash Flow'!I31-'Cash Flow'!I32</f>
        <v>284.77575000000002</v>
      </c>
      <c r="E21" s="188">
        <f>'Cash Flow'!J31-'Cash Flow'!J32</f>
        <v>299.01453750000007</v>
      </c>
      <c r="F21" s="188">
        <f>'Cash Flow'!K31-'Cash Flow'!K32</f>
        <v>313.96526437500006</v>
      </c>
      <c r="G21" s="188">
        <f t="shared" si="0"/>
        <v>1427.2705518750001</v>
      </c>
    </row>
    <row r="22" spans="1:7">
      <c r="A22" s="160" t="s">
        <v>216</v>
      </c>
      <c r="B22">
        <f>2%*(B17-'Profit Loss'!F4)</f>
        <v>61.967400000000055</v>
      </c>
      <c r="C22">
        <f>2%*(C17-'Profit Loss'!G4)</f>
        <v>62.53074000000008</v>
      </c>
      <c r="D22">
        <f>2%*(D17-'Profit Loss'!H4)</f>
        <v>61.905432600000061</v>
      </c>
      <c r="E22">
        <f>2%*(E17-'Profit Loss'!I4)</f>
        <v>59.979485808000028</v>
      </c>
      <c r="F22">
        <f>2%*(F17-'Profit Loss'!J4)</f>
        <v>56.680614088560105</v>
      </c>
      <c r="G22" s="188">
        <f t="shared" si="0"/>
        <v>303.06367249656034</v>
      </c>
    </row>
    <row r="23" spans="1:7">
      <c r="A23" s="160" t="s">
        <v>934</v>
      </c>
      <c r="B23" s="189">
        <f>'Cash Flow'!G55</f>
        <v>18870.510071000001</v>
      </c>
      <c r="C23" s="189">
        <f>'Cash Flow'!H55</f>
        <v>20032.723013899998</v>
      </c>
      <c r="D23" s="189">
        <f>'Cash Flow'!I55</f>
        <v>21812.545205687005</v>
      </c>
      <c r="E23" s="189">
        <f>'Cash Flow'!J55</f>
        <v>23570.443363865845</v>
      </c>
      <c r="F23" s="189">
        <f>'Cash Flow'!K55</f>
        <v>25271.952429923822</v>
      </c>
      <c r="G23" s="188">
        <f t="shared" si="0"/>
        <v>109558.17408437667</v>
      </c>
    </row>
    <row r="24" spans="1:7">
      <c r="A24" s="160" t="s">
        <v>470</v>
      </c>
      <c r="B24">
        <f>1/(1+$B$13)^1</f>
        <v>0.90982061856146401</v>
      </c>
      <c r="C24">
        <f>1/(1+$B$13)^2</f>
        <v>0.82777355795956498</v>
      </c>
      <c r="D24">
        <f>1/(1+$B$13)^3</f>
        <v>0.75312545053159519</v>
      </c>
      <c r="E24">
        <f>1/(1+$B$13)^4</f>
        <v>0.68520906325703723</v>
      </c>
      <c r="F24">
        <f>1/(1+$B$13)^5</f>
        <v>0.62341733377643893</v>
      </c>
      <c r="G24" s="190">
        <f t="shared" si="0"/>
        <v>3.7993460240861006</v>
      </c>
    </row>
    <row r="25" spans="1:7">
      <c r="A25" s="160" t="s">
        <v>935</v>
      </c>
      <c r="B25">
        <f>B23*B24</f>
        <v>17168.779145367556</v>
      </c>
      <c r="C25">
        <f>C23*C24</f>
        <v>16582.558404834461</v>
      </c>
      <c r="D25">
        <f>D23*D24</f>
        <v>16427.582935273811</v>
      </c>
      <c r="E25">
        <f>E23*E24</f>
        <v>16150.681417907565</v>
      </c>
      <c r="F25">
        <f>F23*F24</f>
        <v>15754.973203188107</v>
      </c>
      <c r="G25" s="190">
        <f t="shared" si="0"/>
        <v>82084.575106571487</v>
      </c>
    </row>
    <row r="26" spans="1:7">
      <c r="A26" s="160" t="s">
        <v>464</v>
      </c>
      <c r="B26" t="s">
        <v>465</v>
      </c>
    </row>
    <row r="27" spans="1:7">
      <c r="A27" s="160" t="s">
        <v>284</v>
      </c>
      <c r="B27">
        <f>F23*(1+$B$8)/($B$13-$B$8)</f>
        <v>376605.24757588812</v>
      </c>
    </row>
    <row r="28" spans="1:7">
      <c r="A28" s="160" t="s">
        <v>936</v>
      </c>
      <c r="B28">
        <f>B27*F24</f>
        <v>234782.23932997586</v>
      </c>
    </row>
    <row r="29" spans="1:7">
      <c r="A29" s="160" t="s">
        <v>223</v>
      </c>
      <c r="B29">
        <f>G25+B28</f>
        <v>316866.81443654734</v>
      </c>
    </row>
    <row r="30" spans="1:7">
      <c r="A30" s="160" t="s">
        <v>474</v>
      </c>
      <c r="B30">
        <f>B29-B32</f>
        <v>333546.83946839266</v>
      </c>
    </row>
    <row r="31" spans="1:7">
      <c r="A31" s="160" t="s">
        <v>544</v>
      </c>
      <c r="B31">
        <f>B30/'Profit Loss'!G24</f>
        <v>367.15632990818818</v>
      </c>
    </row>
    <row r="32" spans="1:7">
      <c r="A32" s="160" t="s">
        <v>937</v>
      </c>
      <c r="B32" s="190">
        <f>(Balance_Sheet!K28+Balance_Sheet!K25)-Balance_Sheet!K4</f>
        <v>-16680.025031845304</v>
      </c>
    </row>
    <row r="33" spans="1:2">
      <c r="A33" s="160" t="s">
        <v>543</v>
      </c>
      <c r="B33" t="s">
        <v>325</v>
      </c>
    </row>
    <row r="34" spans="1:2">
      <c r="A34" s="160" t="s">
        <v>223</v>
      </c>
      <c r="B34">
        <f>B29</f>
        <v>316866.81443654734</v>
      </c>
    </row>
    <row r="35" spans="1:2">
      <c r="A35" s="160" t="s">
        <v>474</v>
      </c>
      <c r="B35">
        <f>B30</f>
        <v>333546.83946839266</v>
      </c>
    </row>
    <row r="36" spans="1:2">
      <c r="A36" s="160" t="s">
        <v>938</v>
      </c>
      <c r="B36">
        <f>B31</f>
        <v>367.15632990818818</v>
      </c>
    </row>
    <row r="37" spans="1:2">
      <c r="A37" s="160" t="s">
        <v>939</v>
      </c>
      <c r="B37">
        <v>450</v>
      </c>
    </row>
    <row r="38" spans="1:2">
      <c r="A38" s="160" t="s">
        <v>940</v>
      </c>
      <c r="B38">
        <f>(B36-B37)/B37</f>
        <v>-0.18409704464847071</v>
      </c>
    </row>
    <row r="39" spans="1:2">
      <c r="A39" s="160" t="s">
        <v>548</v>
      </c>
      <c r="B39" t="str">
        <f>IF(B37&gt;B36,"BUY",IF(B36=B37,"HOLD","SELL"))</f>
        <v>BUY</v>
      </c>
    </row>
  </sheetData>
  <pageMargins left="0.7" right="0.7" top="0.75" bottom="0.75" header="0.3" footer="0.3"/>
  <drawing r:id="rId1"/>
  <tableParts count="3">
    <tablePart r:id="rId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E1F52-F875-43EF-AC77-9E40E8BC4689}">
  <dimension ref="A1:R110"/>
  <sheetViews>
    <sheetView zoomScale="56" zoomScaleNormal="80" workbookViewId="0"/>
  </sheetViews>
  <sheetFormatPr defaultRowHeight="14"/>
  <cols>
    <col min="1" max="1" width="61.1640625" customWidth="1"/>
    <col min="2" max="2" width="15.9140625" customWidth="1"/>
    <col min="3" max="3" width="21.75" customWidth="1"/>
    <col min="4" max="4" width="19.1640625" customWidth="1"/>
    <col min="5" max="5" width="18.75" customWidth="1"/>
    <col min="6" max="6" width="20.75" customWidth="1"/>
    <col min="7" max="7" width="29.25" customWidth="1"/>
    <col min="8" max="8" width="22.25" customWidth="1"/>
    <col min="9" max="9" width="12.1640625" customWidth="1"/>
    <col min="10" max="10" width="13.4140625" customWidth="1"/>
    <col min="11" max="11" width="19.25" customWidth="1"/>
    <col min="12" max="12" width="17" customWidth="1"/>
    <col min="13" max="13" width="17.1640625" customWidth="1"/>
    <col min="14" max="14" width="24.58203125" customWidth="1"/>
    <col min="15" max="15" width="22.58203125" customWidth="1"/>
    <col min="16" max="16" width="16.25" customWidth="1"/>
    <col min="17" max="17" width="25.83203125" customWidth="1"/>
    <col min="18" max="18" width="11.83203125" customWidth="1"/>
  </cols>
  <sheetData>
    <row r="1" spans="1:18">
      <c r="A1" s="208" t="s">
        <v>976</v>
      </c>
      <c r="B1" s="200"/>
    </row>
    <row r="2" spans="1:18">
      <c r="A2" s="5" t="s">
        <v>977</v>
      </c>
      <c r="B2" s="5" t="s">
        <v>314</v>
      </c>
      <c r="C2" s="5" t="s">
        <v>117</v>
      </c>
      <c r="D2" s="5" t="s">
        <v>118</v>
      </c>
      <c r="E2" s="5" t="s">
        <v>119</v>
      </c>
      <c r="F2" s="5" t="s">
        <v>120</v>
      </c>
      <c r="G2" s="5" t="s">
        <v>121</v>
      </c>
      <c r="H2" s="5" t="s">
        <v>156</v>
      </c>
      <c r="I2" s="5" t="s">
        <v>157</v>
      </c>
      <c r="J2" s="5" t="s">
        <v>158</v>
      </c>
      <c r="K2" s="5" t="s">
        <v>159</v>
      </c>
      <c r="L2" s="5" t="s">
        <v>160</v>
      </c>
      <c r="M2" s="6"/>
      <c r="R2" s="6"/>
    </row>
    <row r="3" spans="1:18">
      <c r="A3" s="6" t="s">
        <v>462</v>
      </c>
      <c r="B3" s="39"/>
      <c r="C3" s="40">
        <f>K34/O23</f>
        <v>1.9175627240143369</v>
      </c>
      <c r="D3" s="40">
        <f>K35/O23</f>
        <v>2.0800477897252092</v>
      </c>
      <c r="E3" s="40">
        <f>K36/O23</f>
        <v>2.2735961768219832</v>
      </c>
      <c r="F3" s="40">
        <f>K37/O23</f>
        <v>2.5782556750298684</v>
      </c>
      <c r="G3" s="40">
        <f>K38/O23</f>
        <v>2.924731182795699</v>
      </c>
      <c r="H3" s="40">
        <f>K39/O23</f>
        <v>3.1003584229390682</v>
      </c>
      <c r="I3" s="40">
        <f>K40/O23</f>
        <v>3.2867383512544803</v>
      </c>
      <c r="J3" s="40">
        <f>K41/O23</f>
        <v>3.4838709677419355</v>
      </c>
      <c r="K3" s="40">
        <f>K42/O23</f>
        <v>3.6929510155316607</v>
      </c>
      <c r="L3" s="40">
        <f>K43/O23</f>
        <v>3.913978494623656</v>
      </c>
      <c r="M3" s="6"/>
      <c r="R3" s="6"/>
    </row>
    <row r="4" spans="1:18">
      <c r="A4" s="6" t="s">
        <v>264</v>
      </c>
      <c r="B4" s="41">
        <f>(D3/C3)-1</f>
        <v>8.4735202492211892E-2</v>
      </c>
      <c r="C4" s="6"/>
      <c r="D4" s="6"/>
      <c r="E4" s="6"/>
      <c r="F4" s="6"/>
      <c r="G4" s="6">
        <f>(G3/C3)^0.25-1</f>
        <v>0.11130711324020814</v>
      </c>
      <c r="H4" s="6">
        <f>(G4-($G$4-$L$4)/5)</f>
        <v>9.9045690592166516E-2</v>
      </c>
      <c r="I4" s="6">
        <f>(H4-($G$4-$L$4)/5)</f>
        <v>8.6784267944124888E-2</v>
      </c>
      <c r="J4" s="6">
        <f>(I4-($G$4-$L$4)/5)</f>
        <v>7.4522845296083259E-2</v>
      </c>
      <c r="K4" s="6">
        <f>(J4-($G$4-$L$4)/5)</f>
        <v>6.2261422648041631E-2</v>
      </c>
      <c r="L4" s="42">
        <v>0.05</v>
      </c>
      <c r="M4" s="6"/>
      <c r="R4" s="6"/>
    </row>
    <row r="5" spans="1:18">
      <c r="A5" s="6" t="s">
        <v>265</v>
      </c>
      <c r="B5" s="41">
        <v>3.5000000000000003E-2</v>
      </c>
      <c r="C5" s="197" t="s">
        <v>969</v>
      </c>
      <c r="D5" s="198"/>
      <c r="E5" s="198"/>
      <c r="F5" s="198"/>
      <c r="G5" s="198"/>
      <c r="H5" s="198"/>
      <c r="I5" s="198"/>
      <c r="J5" s="199"/>
      <c r="K5" s="199"/>
      <c r="L5" s="6"/>
      <c r="M5" s="6"/>
      <c r="R5" s="6"/>
    </row>
    <row r="6" spans="1:18">
      <c r="A6" s="6" t="s">
        <v>266</v>
      </c>
      <c r="B6" s="41">
        <f>'Common Size'!B62</f>
        <v>0.10208160149719309</v>
      </c>
      <c r="C6" s="6"/>
      <c r="D6" s="6"/>
      <c r="E6" s="6"/>
      <c r="F6" s="6"/>
      <c r="G6" s="6"/>
      <c r="H6" s="6"/>
      <c r="I6" s="6"/>
      <c r="J6" s="6"/>
      <c r="K6" s="6"/>
      <c r="L6" s="6"/>
      <c r="M6" s="6"/>
      <c r="R6" s="6"/>
    </row>
    <row r="7" spans="1:18">
      <c r="A7" s="6"/>
      <c r="B7" s="41"/>
      <c r="C7" s="6"/>
      <c r="D7" s="6"/>
      <c r="E7" s="6"/>
      <c r="F7" s="6"/>
      <c r="G7" s="6"/>
      <c r="H7" s="6"/>
      <c r="I7" s="6"/>
      <c r="J7" s="6"/>
      <c r="K7" s="6"/>
      <c r="L7" s="6"/>
      <c r="M7" s="6"/>
      <c r="R7" s="6"/>
    </row>
    <row r="8" spans="1:18">
      <c r="A8" s="6" t="s">
        <v>267</v>
      </c>
      <c r="B8" s="40">
        <f>L3*(1+B5)/(B6-B5)</f>
        <v>60.388655779259977</v>
      </c>
      <c r="C8" s="6"/>
      <c r="D8" s="6"/>
      <c r="E8" s="6"/>
      <c r="F8" s="6"/>
      <c r="G8" s="6"/>
      <c r="H8" s="6"/>
      <c r="I8" s="6"/>
      <c r="J8" s="6"/>
      <c r="K8" s="6"/>
      <c r="L8" s="6"/>
      <c r="M8" s="6"/>
      <c r="R8" s="6"/>
    </row>
    <row r="9" spans="1:18">
      <c r="A9" s="6" t="s">
        <v>268</v>
      </c>
      <c r="B9" s="39">
        <f>B8/(1+$B$6)^5</f>
        <v>37.143823034700219</v>
      </c>
      <c r="C9" s="6"/>
      <c r="D9" s="6"/>
      <c r="E9" s="6"/>
      <c r="F9" s="6"/>
      <c r="G9" s="6"/>
      <c r="H9" s="6"/>
      <c r="I9" s="6"/>
      <c r="J9" s="6"/>
      <c r="K9" s="6"/>
      <c r="L9" s="6"/>
      <c r="M9" s="6"/>
      <c r="R9" s="6"/>
    </row>
    <row r="10" spans="1:18">
      <c r="A10" s="6" t="s">
        <v>269</v>
      </c>
      <c r="B10" s="39">
        <f>SUM(C3:L3)</f>
        <v>29.252090800477898</v>
      </c>
      <c r="C10" s="6"/>
      <c r="D10" s="6"/>
      <c r="E10" s="6"/>
      <c r="F10" s="6"/>
      <c r="G10" s="6"/>
      <c r="H10" s="6"/>
      <c r="I10" s="6"/>
      <c r="J10" s="6"/>
      <c r="K10" s="6"/>
      <c r="L10" s="6"/>
      <c r="M10" s="6"/>
      <c r="R10" s="6"/>
    </row>
    <row r="11" spans="1:18">
      <c r="A11" s="6" t="s">
        <v>316</v>
      </c>
      <c r="B11" s="39">
        <f>B10+B9</f>
        <v>66.395913835178121</v>
      </c>
      <c r="C11" s="6"/>
      <c r="D11" s="6"/>
      <c r="E11" s="6"/>
      <c r="F11" s="6"/>
      <c r="G11" s="6"/>
      <c r="H11" s="6"/>
      <c r="I11" s="6"/>
      <c r="J11" s="6"/>
      <c r="K11" s="6"/>
      <c r="L11" s="6"/>
      <c r="M11" s="6"/>
      <c r="R11" s="6"/>
    </row>
    <row r="12" spans="1:18">
      <c r="A12" s="6" t="s">
        <v>467</v>
      </c>
      <c r="B12" s="39">
        <f>B11</f>
        <v>66.395913835178121</v>
      </c>
      <c r="C12" s="6"/>
      <c r="D12" s="6"/>
      <c r="E12" s="6"/>
      <c r="F12" s="6"/>
      <c r="G12" s="6"/>
      <c r="H12" s="6"/>
      <c r="I12" s="6"/>
      <c r="J12" s="6"/>
      <c r="K12" s="6"/>
      <c r="L12" s="6"/>
      <c r="M12" s="6"/>
      <c r="R12" s="6"/>
    </row>
    <row r="13" spans="1:18">
      <c r="A13" s="6" t="s">
        <v>271</v>
      </c>
      <c r="B13" s="39">
        <v>430</v>
      </c>
      <c r="C13" s="6"/>
      <c r="D13" s="6"/>
      <c r="E13" s="6"/>
      <c r="F13" s="6"/>
      <c r="G13" s="6"/>
      <c r="H13" s="6"/>
      <c r="I13" s="6"/>
      <c r="J13" s="6"/>
      <c r="K13" s="6"/>
      <c r="L13" s="6"/>
      <c r="M13" s="6"/>
      <c r="N13" s="6"/>
      <c r="O13" s="6"/>
      <c r="P13" s="6"/>
      <c r="Q13" s="6"/>
      <c r="R13" s="6"/>
    </row>
    <row r="14" spans="1:18">
      <c r="A14" s="6" t="s">
        <v>272</v>
      </c>
      <c r="B14" s="39">
        <f>B12-B13</f>
        <v>-363.60408616482187</v>
      </c>
      <c r="C14" s="6"/>
      <c r="D14" s="6"/>
      <c r="E14" s="6"/>
      <c r="F14" s="6"/>
      <c r="G14" s="6"/>
      <c r="H14" s="6"/>
      <c r="I14" s="6"/>
      <c r="J14" s="6"/>
      <c r="K14" s="6"/>
      <c r="L14" s="6"/>
      <c r="M14" s="6"/>
      <c r="P14" s="6"/>
      <c r="Q14" s="6"/>
      <c r="R14" s="6"/>
    </row>
    <row r="15" spans="1:18">
      <c r="A15" s="6" t="s">
        <v>273</v>
      </c>
      <c r="B15" s="39">
        <f>B12</f>
        <v>66.395913835178121</v>
      </c>
      <c r="C15" s="6"/>
      <c r="D15" s="6"/>
      <c r="E15" s="6"/>
      <c r="F15" s="6"/>
      <c r="G15" s="6"/>
      <c r="H15" s="6"/>
      <c r="I15" s="6"/>
      <c r="J15" s="6"/>
      <c r="K15" s="6"/>
      <c r="L15" s="6"/>
      <c r="M15" s="6"/>
      <c r="P15" s="6"/>
      <c r="Q15" s="6"/>
      <c r="R15" s="6"/>
    </row>
    <row r="16" spans="1:18">
      <c r="A16" s="6"/>
      <c r="B16" s="6"/>
      <c r="C16" s="6"/>
      <c r="D16" s="6"/>
      <c r="E16" s="6"/>
      <c r="F16" s="6"/>
      <c r="G16" s="6"/>
      <c r="H16" s="6"/>
      <c r="I16" s="6"/>
      <c r="J16" s="6"/>
      <c r="K16" s="6"/>
      <c r="L16" s="6"/>
      <c r="M16" s="6"/>
      <c r="P16" s="6"/>
      <c r="Q16" s="6"/>
      <c r="R16" s="6"/>
    </row>
    <row r="17" spans="1:18">
      <c r="A17" s="6" t="s">
        <v>970</v>
      </c>
      <c r="B17" s="6" t="s">
        <v>314</v>
      </c>
      <c r="C17" s="6" t="s">
        <v>117</v>
      </c>
      <c r="D17" s="6" t="s">
        <v>118</v>
      </c>
      <c r="E17" s="6" t="s">
        <v>119</v>
      </c>
      <c r="F17" s="6" t="s">
        <v>120</v>
      </c>
      <c r="G17" s="6" t="s">
        <v>121</v>
      </c>
      <c r="H17" s="6" t="s">
        <v>156</v>
      </c>
      <c r="I17" s="6" t="s">
        <v>157</v>
      </c>
      <c r="J17" s="6" t="s">
        <v>158</v>
      </c>
      <c r="K17" s="6" t="s">
        <v>159</v>
      </c>
      <c r="L17" s="6" t="s">
        <v>160</v>
      </c>
      <c r="M17" s="6"/>
      <c r="N17" s="6" t="s">
        <v>464</v>
      </c>
      <c r="O17" s="6" t="s">
        <v>465</v>
      </c>
      <c r="P17" s="6"/>
      <c r="Q17" s="6"/>
      <c r="R17" s="6"/>
    </row>
    <row r="18" spans="1:18">
      <c r="A18" s="6" t="s">
        <v>487</v>
      </c>
      <c r="B18" s="6"/>
      <c r="C18" s="40">
        <f>'Cash Flow'!B24-('Cash Flow'!B31+'Cash Flow'!B32)+('Cash Flow'!B42-'Cash Flow'!B43)</f>
        <v>11891</v>
      </c>
      <c r="D18" s="40">
        <f>'Cash Flow'!C24-('Cash Flow'!C31+'Cash Flow'!C32)+('Cash Flow'!C42-'Cash Flow'!C43)</f>
        <v>12951</v>
      </c>
      <c r="E18" s="40">
        <f>'Cash Flow'!D24-('Cash Flow'!D31+'Cash Flow'!D32)+('Cash Flow'!D42-'Cash Flow'!D43)</f>
        <v>14139</v>
      </c>
      <c r="F18" s="40">
        <f>'Cash Flow'!E24-('Cash Flow'!E31+'Cash Flow'!E32)+('Cash Flow'!E42-'Cash Flow'!E43)</f>
        <v>14622</v>
      </c>
      <c r="G18" s="40">
        <f>'Cash Flow'!F24-('Cash Flow'!F31+'Cash Flow'!F32)+('Cash Flow'!F42-'Cash Flow'!F43)</f>
        <v>21270</v>
      </c>
      <c r="H18" s="40">
        <f>'Cash Flow'!G24-('Cash Flow'!G31+'Cash Flow'!G32)+('Cash Flow'!G42-'Cash Flow'!G43)</f>
        <v>25917.910071000002</v>
      </c>
      <c r="I18" s="40">
        <f>'Cash Flow'!H24-('Cash Flow'!H31+'Cash Flow'!H32)+('Cash Flow'!H42-'Cash Flow'!H43)</f>
        <v>27167.693013899996</v>
      </c>
      <c r="J18" s="40">
        <f>'Cash Flow'!I24-('Cash Flow'!I31+'Cash Flow'!I32)+('Cash Flow'!I42-'Cash Flow'!I43)</f>
        <v>29039.463705687005</v>
      </c>
      <c r="K18" s="40">
        <f>'Cash Flow'!J24-('Cash Flow'!J31+'Cash Flow'!J32)+('Cash Flow'!J42-'Cash Flow'!J43)</f>
        <v>30893.907788865843</v>
      </c>
      <c r="L18" s="40">
        <f>'Cash Flow'!K24-('Cash Flow'!K31+'Cash Flow'!K32)+('Cash Flow'!K42-'Cash Flow'!K43)</f>
        <v>32696.79007617382</v>
      </c>
      <c r="M18" s="6"/>
      <c r="N18" s="5" t="s">
        <v>459</v>
      </c>
      <c r="O18" s="6">
        <v>0.09</v>
      </c>
      <c r="P18" s="6"/>
      <c r="Q18" s="6"/>
      <c r="R18" s="6"/>
    </row>
    <row r="19" spans="1:18">
      <c r="A19" s="6" t="s">
        <v>971</v>
      </c>
      <c r="B19" s="6"/>
      <c r="C19" s="41">
        <f>(D18/C18)-1</f>
        <v>8.9143049365066007E-2</v>
      </c>
      <c r="D19" s="6"/>
      <c r="E19" s="6"/>
      <c r="F19" s="6"/>
      <c r="G19" s="41">
        <f>C19</f>
        <v>8.9143049365066007E-2</v>
      </c>
      <c r="H19" s="41">
        <f>(G19-($G$19-$L$19)/5)</f>
        <v>8.1314439492052804E-2</v>
      </c>
      <c r="I19" s="41">
        <f>(H19-($G$19-$L$19)/5)</f>
        <v>7.34858296190396E-2</v>
      </c>
      <c r="J19" s="41">
        <f>(I19-($G$19-$L$19)/5)</f>
        <v>6.5657219746026396E-2</v>
      </c>
      <c r="K19" s="41">
        <f>(J19-($G$19-$L$19)/5)</f>
        <v>5.7828609873013193E-2</v>
      </c>
      <c r="L19" s="42">
        <v>0.05</v>
      </c>
      <c r="M19" s="6"/>
      <c r="N19" s="5" t="s">
        <v>460</v>
      </c>
      <c r="O19" s="6">
        <v>0.05</v>
      </c>
      <c r="P19" s="6"/>
      <c r="Q19" s="6"/>
      <c r="R19" s="6"/>
    </row>
    <row r="20" spans="1:18">
      <c r="A20" s="6" t="s">
        <v>274</v>
      </c>
      <c r="B20" s="41">
        <v>3.5000000000000003E-2</v>
      </c>
      <c r="C20" s="41"/>
      <c r="D20" s="6"/>
      <c r="E20" s="6"/>
      <c r="F20" s="6"/>
      <c r="G20" s="6"/>
      <c r="H20" s="6"/>
      <c r="I20" s="6"/>
      <c r="J20" s="6"/>
      <c r="K20" s="6"/>
      <c r="L20" s="6"/>
      <c r="M20" s="6"/>
      <c r="N20" s="5" t="s">
        <v>284</v>
      </c>
      <c r="O20" s="6">
        <v>102.6279</v>
      </c>
      <c r="P20" s="6"/>
      <c r="Q20" s="6"/>
      <c r="R20" s="6"/>
    </row>
    <row r="21" spans="1:18">
      <c r="A21" s="6" t="s">
        <v>972</v>
      </c>
      <c r="B21" s="42">
        <v>0.1021</v>
      </c>
      <c r="C21" s="42"/>
      <c r="D21" s="6"/>
      <c r="E21" s="6"/>
      <c r="F21" s="6"/>
      <c r="G21" s="6"/>
      <c r="H21" s="6"/>
      <c r="I21" s="6"/>
      <c r="J21" s="6"/>
      <c r="K21" s="6"/>
      <c r="L21" s="6"/>
      <c r="M21" s="6"/>
      <c r="N21" s="5" t="s">
        <v>461</v>
      </c>
      <c r="O21" s="6">
        <v>43.351100000000002</v>
      </c>
      <c r="P21" s="6"/>
      <c r="Q21" s="6"/>
      <c r="R21" s="6"/>
    </row>
    <row r="22" spans="1:18">
      <c r="A22" s="6" t="s">
        <v>973</v>
      </c>
      <c r="B22" s="6">
        <f>L18*(1+B20)/(B21-B20)</f>
        <v>504339.45944619831</v>
      </c>
      <c r="C22" s="6"/>
      <c r="D22" s="6"/>
      <c r="E22" s="6"/>
      <c r="F22" s="6"/>
      <c r="G22" s="6"/>
      <c r="H22" s="6"/>
      <c r="I22" s="6"/>
      <c r="J22" s="6"/>
      <c r="K22" s="6"/>
      <c r="L22" s="6"/>
      <c r="M22" s="6"/>
      <c r="N22" s="5" t="s">
        <v>318</v>
      </c>
      <c r="O22" s="6">
        <v>61.073099999999997</v>
      </c>
      <c r="P22" s="6"/>
      <c r="Q22" s="6"/>
      <c r="R22" s="6"/>
    </row>
    <row r="23" spans="1:18">
      <c r="A23" s="6" t="s">
        <v>268</v>
      </c>
      <c r="B23" s="6">
        <f>B22/(1+$B$21)^10</f>
        <v>190771.24971882827</v>
      </c>
      <c r="C23" s="6"/>
      <c r="D23" s="6"/>
      <c r="E23" s="6"/>
      <c r="F23" s="6"/>
      <c r="G23" s="6"/>
      <c r="H23" s="6"/>
      <c r="I23" s="6"/>
      <c r="J23" s="6"/>
      <c r="K23" s="6"/>
      <c r="L23" s="6"/>
      <c r="M23" s="6"/>
      <c r="N23" s="5" t="s">
        <v>463</v>
      </c>
      <c r="O23" s="6">
        <v>837</v>
      </c>
      <c r="P23" s="6"/>
      <c r="Q23" s="6"/>
      <c r="R23" s="6"/>
    </row>
    <row r="24" spans="1:18">
      <c r="A24" s="6" t="s">
        <v>974</v>
      </c>
      <c r="B24" s="40">
        <f>SUM(C18:L18)</f>
        <v>220588.76465562667</v>
      </c>
      <c r="C24" s="6"/>
      <c r="D24" s="6"/>
      <c r="E24" s="6"/>
      <c r="F24" s="6"/>
      <c r="G24" s="6"/>
      <c r="H24" s="6"/>
      <c r="I24" s="6"/>
      <c r="J24" s="6"/>
      <c r="K24" s="6"/>
      <c r="L24" s="6"/>
      <c r="M24" s="6"/>
      <c r="N24" s="6"/>
      <c r="O24" s="6"/>
      <c r="P24" s="6"/>
      <c r="Q24" s="6"/>
      <c r="R24" s="6"/>
    </row>
    <row r="25" spans="1:18">
      <c r="A25" s="6" t="s">
        <v>316</v>
      </c>
      <c r="B25" s="40">
        <f>B24+B23</f>
        <v>411360.01437445497</v>
      </c>
      <c r="C25" s="6"/>
      <c r="D25" s="6"/>
      <c r="E25" s="6"/>
      <c r="F25" s="6"/>
      <c r="G25" s="6"/>
      <c r="H25" s="6"/>
      <c r="I25" s="6"/>
      <c r="J25" s="6"/>
      <c r="K25" s="6"/>
      <c r="L25" s="6"/>
      <c r="M25" s="6"/>
      <c r="N25" s="6"/>
      <c r="O25" s="6"/>
      <c r="P25" s="6"/>
      <c r="Q25" s="6"/>
      <c r="R25" s="6"/>
    </row>
    <row r="26" spans="1:18">
      <c r="A26" s="6" t="s">
        <v>270</v>
      </c>
      <c r="B26" s="40">
        <f>'Profit Loss'!K24</f>
        <v>837.93457863359993</v>
      </c>
      <c r="C26" s="6"/>
      <c r="D26" s="6"/>
      <c r="E26" s="6"/>
      <c r="F26" s="6"/>
      <c r="G26" s="6"/>
      <c r="H26" s="6"/>
      <c r="I26" s="6"/>
      <c r="J26" s="6"/>
      <c r="K26" s="6"/>
      <c r="L26" s="6"/>
      <c r="M26" s="6"/>
      <c r="N26" s="6"/>
      <c r="O26" s="6"/>
      <c r="P26" s="6"/>
      <c r="Q26" s="6"/>
      <c r="R26" s="6"/>
    </row>
    <row r="27" spans="1:18">
      <c r="A27" s="6" t="s">
        <v>975</v>
      </c>
      <c r="B27" s="6">
        <f>B25/B26</f>
        <v>490.92139752157027</v>
      </c>
      <c r="C27" s="6"/>
      <c r="D27" s="6"/>
      <c r="E27" s="6"/>
      <c r="F27" s="6"/>
      <c r="G27" s="6"/>
      <c r="H27" s="6"/>
      <c r="I27" s="6"/>
      <c r="J27" s="6"/>
      <c r="K27" s="6"/>
      <c r="L27" s="6"/>
      <c r="M27" s="6"/>
      <c r="N27" s="6"/>
      <c r="O27" s="6"/>
      <c r="P27" s="6"/>
      <c r="Q27" s="6"/>
      <c r="R27" s="6"/>
    </row>
    <row r="28" spans="1:18">
      <c r="A28" s="6" t="s">
        <v>271</v>
      </c>
      <c r="B28" s="6">
        <v>430</v>
      </c>
      <c r="C28" s="6"/>
      <c r="D28" s="6"/>
      <c r="E28" s="6"/>
      <c r="F28" s="6"/>
      <c r="G28" s="6"/>
      <c r="H28" s="6"/>
      <c r="I28" s="6"/>
      <c r="J28" s="6"/>
      <c r="K28" s="6"/>
      <c r="L28" s="6"/>
      <c r="M28" s="6"/>
      <c r="N28" s="6"/>
      <c r="O28" s="6"/>
      <c r="P28" s="6"/>
      <c r="Q28" s="6"/>
      <c r="R28" s="6"/>
    </row>
    <row r="29" spans="1:18">
      <c r="A29" s="6" t="s">
        <v>272</v>
      </c>
      <c r="B29" s="6">
        <f>B27-B28</f>
        <v>60.92139752157027</v>
      </c>
      <c r="C29" s="6"/>
      <c r="D29" s="6"/>
      <c r="E29" s="6"/>
      <c r="F29" s="6"/>
      <c r="G29" s="6"/>
      <c r="H29" s="6"/>
      <c r="I29" s="6"/>
      <c r="J29" s="6"/>
      <c r="K29" s="6"/>
      <c r="L29" s="6"/>
      <c r="M29" s="6"/>
      <c r="N29" s="6"/>
      <c r="O29" s="6"/>
      <c r="P29" s="6"/>
      <c r="Q29" s="6"/>
      <c r="R29" s="6"/>
    </row>
    <row r="30" spans="1:18">
      <c r="A30" s="6" t="s">
        <v>275</v>
      </c>
      <c r="B30" s="6">
        <f>B25/B26</f>
        <v>490.92139752157027</v>
      </c>
      <c r="C30" s="6"/>
      <c r="D30" s="6"/>
      <c r="E30" s="6"/>
      <c r="F30" s="6"/>
      <c r="G30" s="6"/>
      <c r="H30" s="6"/>
      <c r="I30" s="6"/>
      <c r="J30" s="6"/>
      <c r="K30" s="6"/>
      <c r="L30" s="6"/>
      <c r="M30" s="6"/>
      <c r="N30" s="6"/>
      <c r="O30" s="6"/>
      <c r="P30" s="6"/>
      <c r="Q30" s="6"/>
      <c r="R30" s="6"/>
    </row>
    <row r="31" spans="1:18">
      <c r="A31" s="6" t="s">
        <v>315</v>
      </c>
      <c r="B31" s="43" t="s">
        <v>317</v>
      </c>
      <c r="C31" s="6"/>
      <c r="D31" s="6"/>
      <c r="E31" s="6"/>
      <c r="F31" s="6"/>
      <c r="G31" s="6"/>
      <c r="H31" s="6"/>
      <c r="I31" s="6"/>
      <c r="J31" s="6"/>
      <c r="K31" s="6"/>
      <c r="L31" s="6"/>
      <c r="M31" s="6"/>
      <c r="N31" s="6"/>
      <c r="O31" s="6"/>
      <c r="P31" s="6"/>
      <c r="Q31" s="6"/>
      <c r="R31" s="6"/>
    </row>
    <row r="32" spans="1:18">
      <c r="A32" s="6"/>
      <c r="B32" s="6"/>
      <c r="C32" s="6"/>
      <c r="D32" s="6"/>
      <c r="E32" s="6"/>
      <c r="F32" s="6"/>
      <c r="G32" s="6"/>
      <c r="H32" s="6"/>
      <c r="I32" s="6"/>
      <c r="J32" s="6"/>
      <c r="K32" s="6"/>
      <c r="L32" s="6"/>
      <c r="M32" s="6"/>
      <c r="N32" s="6"/>
      <c r="O32" s="6"/>
      <c r="P32" s="6"/>
      <c r="Q32" s="6"/>
      <c r="R32" s="6"/>
    </row>
    <row r="33" spans="1:18">
      <c r="A33" s="5" t="s">
        <v>276</v>
      </c>
      <c r="B33" s="5" t="s">
        <v>260</v>
      </c>
      <c r="C33" s="5" t="s">
        <v>259</v>
      </c>
      <c r="D33" s="5" t="s">
        <v>466</v>
      </c>
      <c r="E33" s="5" t="s">
        <v>288</v>
      </c>
      <c r="F33" s="6"/>
      <c r="G33" s="6" t="s">
        <v>324</v>
      </c>
      <c r="H33" s="6" t="s">
        <v>325</v>
      </c>
      <c r="I33" s="6"/>
      <c r="J33" s="6" t="s">
        <v>455</v>
      </c>
      <c r="K33" s="6" t="s">
        <v>456</v>
      </c>
      <c r="L33" s="6" t="s">
        <v>457</v>
      </c>
      <c r="M33" s="6" t="s">
        <v>458</v>
      </c>
      <c r="N33" s="6"/>
      <c r="O33" s="6"/>
      <c r="P33" s="6"/>
      <c r="Q33" s="6"/>
      <c r="R33" s="6"/>
    </row>
    <row r="34" spans="1:18">
      <c r="A34" s="6" t="s">
        <v>226</v>
      </c>
      <c r="B34" s="40">
        <f>B28/Table18[[#This Row],[Values]]</f>
        <v>30.89560354202268</v>
      </c>
      <c r="C34" s="6">
        <v>30</v>
      </c>
      <c r="D34" s="40">
        <f>Table18[[#This Row],[Values]]</f>
        <v>13.917837837837839</v>
      </c>
      <c r="E34" s="40">
        <f>D34*C34</f>
        <v>417.53513513513514</v>
      </c>
      <c r="F34" s="6"/>
      <c r="G34" s="5" t="s">
        <v>319</v>
      </c>
      <c r="H34" s="40">
        <f>'Profit Loss'!F20/'Profit Loss'!F22</f>
        <v>13.917837837837839</v>
      </c>
      <c r="I34" s="6"/>
      <c r="J34" s="6">
        <v>2020</v>
      </c>
      <c r="K34" s="6">
        <v>1605</v>
      </c>
      <c r="L34" s="6">
        <v>1.9154</v>
      </c>
      <c r="M34" s="6">
        <v>1.7573000000000001</v>
      </c>
      <c r="N34" s="6"/>
      <c r="O34" s="6"/>
      <c r="P34" s="6"/>
      <c r="Q34" s="6"/>
      <c r="R34" s="6"/>
    </row>
    <row r="35" spans="1:18">
      <c r="A35" s="6" t="s">
        <v>277</v>
      </c>
      <c r="B35" s="40">
        <f>B28/Table18[[#This Row],[Values]]</f>
        <v>61.051419800460479</v>
      </c>
      <c r="C35" s="6">
        <v>12</v>
      </c>
      <c r="D35" s="40">
        <f>Table18[[#This Row],[Values]]</f>
        <v>7.0432432432432428</v>
      </c>
      <c r="E35" s="40">
        <f>D35*C35</f>
        <v>84.518918918918914</v>
      </c>
      <c r="F35" s="6"/>
      <c r="G35" s="5" t="s">
        <v>320</v>
      </c>
      <c r="H35" s="40">
        <f>Balance_Sheet!F41/'Profit Loss'!F22</f>
        <v>7.0432432432432428</v>
      </c>
      <c r="I35" s="6"/>
      <c r="J35" s="6">
        <v>2021</v>
      </c>
      <c r="K35" s="6">
        <v>1741</v>
      </c>
      <c r="L35" s="6">
        <v>2.0777000000000001</v>
      </c>
      <c r="M35" s="6">
        <v>1.7487999999999999</v>
      </c>
      <c r="N35" s="6"/>
      <c r="O35" s="6"/>
      <c r="P35" s="6"/>
      <c r="Q35" s="6"/>
      <c r="R35" s="6"/>
    </row>
    <row r="36" spans="1:18">
      <c r="A36" s="6" t="s">
        <v>234</v>
      </c>
      <c r="B36" s="40">
        <f>B28/Table18[[#This Row],[Values]]</f>
        <v>14.12113466112827</v>
      </c>
      <c r="C36" s="6">
        <v>14</v>
      </c>
      <c r="D36" s="40">
        <f>Table18[[#This Row],[Values]]</f>
        <v>30.450810810810811</v>
      </c>
      <c r="E36" s="40">
        <f>D36*C36</f>
        <v>426.31135135135133</v>
      </c>
      <c r="F36" s="6"/>
      <c r="G36" s="5" t="s">
        <v>321</v>
      </c>
      <c r="H36" s="40">
        <f>'Profit Loss'!F4/'Profit Loss'!F22</f>
        <v>30.450810810810811</v>
      </c>
      <c r="I36" s="6"/>
      <c r="J36" s="6">
        <v>2022</v>
      </c>
      <c r="K36" s="6">
        <v>1903</v>
      </c>
      <c r="L36" s="6">
        <v>2.2711000000000001</v>
      </c>
      <c r="M36" s="6">
        <v>1.7537</v>
      </c>
      <c r="N36" s="6"/>
      <c r="O36" s="6"/>
      <c r="P36" s="6"/>
      <c r="Q36" s="6"/>
      <c r="R36" s="6"/>
    </row>
    <row r="37" spans="1:18">
      <c r="A37" s="6" t="s">
        <v>278</v>
      </c>
      <c r="B37" s="40">
        <f>H39</f>
        <v>24.730505491838098</v>
      </c>
      <c r="C37" s="6">
        <v>24</v>
      </c>
      <c r="D37" s="40">
        <f>H40</f>
        <v>17.815135135135137</v>
      </c>
      <c r="E37" s="40">
        <f>D37*C37</f>
        <v>427.56324324324328</v>
      </c>
      <c r="F37" s="6"/>
      <c r="G37" s="5" t="s">
        <v>223</v>
      </c>
      <c r="H37" s="6">
        <f>(B28*'Profit Loss'!F22)+'Common Size'!B92-Balance_Sheet!F4</f>
        <v>407534</v>
      </c>
      <c r="I37" s="6"/>
      <c r="J37" s="6">
        <v>2023</v>
      </c>
      <c r="K37" s="6">
        <v>2158</v>
      </c>
      <c r="L37" s="6">
        <v>2.5754000000000001</v>
      </c>
      <c r="M37" s="6">
        <v>1.8245</v>
      </c>
      <c r="N37" s="6"/>
      <c r="O37" s="6"/>
      <c r="P37" s="6"/>
      <c r="Q37" s="6"/>
      <c r="R37" s="6"/>
    </row>
    <row r="38" spans="1:18">
      <c r="A38" s="6" t="s">
        <v>232</v>
      </c>
      <c r="B38" s="40">
        <f>Table18[[#This Row],[Values]]</f>
        <v>26.154152226928506</v>
      </c>
      <c r="C38" s="6">
        <v>26</v>
      </c>
      <c r="D38" s="40">
        <f>H41</f>
        <v>16.845405405405405</v>
      </c>
      <c r="E38" s="40">
        <f>D38*C38</f>
        <v>437.98054054054052</v>
      </c>
      <c r="F38" s="6"/>
      <c r="G38" s="5" t="s">
        <v>232</v>
      </c>
      <c r="H38" s="40">
        <f>H37/'Profit Loss'!F11</f>
        <v>26.154152226928506</v>
      </c>
      <c r="I38" s="6"/>
      <c r="J38" s="6">
        <v>2024</v>
      </c>
      <c r="K38" s="6">
        <v>2448</v>
      </c>
      <c r="L38" s="6">
        <v>2.9215</v>
      </c>
      <c r="M38" s="6">
        <v>1.8988</v>
      </c>
      <c r="N38" s="6"/>
      <c r="O38" s="6"/>
      <c r="P38" s="6"/>
      <c r="Q38" s="6"/>
      <c r="R38" s="6"/>
    </row>
    <row r="39" spans="1:18">
      <c r="A39" s="6"/>
      <c r="B39" s="6"/>
      <c r="C39" s="6"/>
      <c r="D39" s="6" t="s">
        <v>954</v>
      </c>
      <c r="E39" s="40">
        <f>AVERAGE(E34:E38)</f>
        <v>358.78183783783783</v>
      </c>
      <c r="F39" s="6"/>
      <c r="G39" s="5" t="s">
        <v>230</v>
      </c>
      <c r="H39" s="40">
        <f>H37/'Profit Loss'!F25</f>
        <v>24.730505491838098</v>
      </c>
      <c r="I39" s="6"/>
      <c r="J39" s="6">
        <v>2025</v>
      </c>
      <c r="K39" s="6">
        <v>2595</v>
      </c>
      <c r="L39" s="6">
        <v>3.0969000000000002</v>
      </c>
      <c r="M39" s="6">
        <v>1.8466</v>
      </c>
      <c r="N39" s="6"/>
      <c r="O39" s="6"/>
      <c r="P39" s="6"/>
      <c r="Q39" s="6"/>
      <c r="R39" s="6"/>
    </row>
    <row r="40" spans="1:18">
      <c r="A40" s="5" t="s">
        <v>279</v>
      </c>
      <c r="B40" s="44" t="s">
        <v>289</v>
      </c>
      <c r="C40" s="6"/>
      <c r="D40" s="6"/>
      <c r="E40" s="6"/>
      <c r="F40" s="6"/>
      <c r="G40" s="5" t="s">
        <v>322</v>
      </c>
      <c r="H40" s="40">
        <f>'Profit Loss'!F25/'Profit Loss'!F22</f>
        <v>17.815135135135137</v>
      </c>
      <c r="I40" s="6"/>
      <c r="J40" s="6">
        <v>2026</v>
      </c>
      <c r="K40" s="6">
        <v>2751</v>
      </c>
      <c r="L40" s="6">
        <v>3.2831000000000001</v>
      </c>
      <c r="M40" s="6">
        <v>1.796</v>
      </c>
      <c r="N40" s="6"/>
      <c r="O40" s="6"/>
      <c r="P40" s="6"/>
      <c r="Q40" s="6"/>
      <c r="R40" s="6"/>
    </row>
    <row r="41" spans="1:18">
      <c r="A41" s="6" t="s">
        <v>280</v>
      </c>
      <c r="B41" s="45">
        <f>Balance_Sheet!F41</f>
        <v>6515</v>
      </c>
      <c r="C41" s="6"/>
      <c r="D41" s="6"/>
      <c r="E41" s="6"/>
      <c r="F41" s="6"/>
      <c r="G41" s="5" t="s">
        <v>323</v>
      </c>
      <c r="H41" s="40">
        <f>'Profit Loss'!F11/'Profit Loss'!F22</f>
        <v>16.845405405405405</v>
      </c>
      <c r="I41" s="6"/>
      <c r="J41" s="6">
        <v>2027</v>
      </c>
      <c r="K41" s="6">
        <v>2916</v>
      </c>
      <c r="L41" s="6">
        <v>3.48</v>
      </c>
      <c r="M41" s="6">
        <v>1.7464999999999999</v>
      </c>
      <c r="N41" s="6"/>
      <c r="O41" s="6"/>
      <c r="P41" s="6"/>
      <c r="Q41" s="6"/>
      <c r="R41" s="6"/>
    </row>
    <row r="42" spans="1:18">
      <c r="A42" s="6" t="s">
        <v>326</v>
      </c>
      <c r="B42" s="46">
        <v>0.04</v>
      </c>
      <c r="C42" s="6"/>
      <c r="D42" s="6"/>
      <c r="E42" s="6"/>
      <c r="F42" s="6"/>
      <c r="G42" s="5" t="s">
        <v>484</v>
      </c>
      <c r="H42" s="40"/>
      <c r="I42" s="6"/>
      <c r="J42" s="6">
        <v>2028</v>
      </c>
      <c r="K42" s="6">
        <v>3091</v>
      </c>
      <c r="L42" s="6">
        <v>3.6888999999999998</v>
      </c>
      <c r="M42" s="6">
        <v>1.6984999999999999</v>
      </c>
      <c r="N42" s="6"/>
      <c r="O42" s="6"/>
      <c r="P42" s="6"/>
      <c r="Q42" s="6"/>
      <c r="R42" s="6"/>
    </row>
    <row r="43" spans="1:18">
      <c r="A43" s="6" t="s">
        <v>281</v>
      </c>
      <c r="B43" s="6">
        <v>10.210000000000001</v>
      </c>
      <c r="C43" s="6"/>
      <c r="D43" s="6"/>
      <c r="E43" s="6"/>
      <c r="F43" s="6"/>
      <c r="G43" s="6" t="s">
        <v>476</v>
      </c>
      <c r="H43" s="6" t="s">
        <v>112</v>
      </c>
      <c r="I43" s="6"/>
      <c r="J43" s="6">
        <v>2029</v>
      </c>
      <c r="K43" s="6">
        <v>3276</v>
      </c>
      <c r="L43" s="6">
        <v>3.9096000000000002</v>
      </c>
      <c r="M43" s="6">
        <v>1.6515</v>
      </c>
      <c r="N43" s="6"/>
      <c r="O43" s="6"/>
      <c r="P43" s="6"/>
      <c r="Q43" s="6"/>
      <c r="R43" s="6"/>
    </row>
    <row r="44" spans="1:18">
      <c r="A44" s="6" t="s">
        <v>282</v>
      </c>
      <c r="B44" s="6">
        <f>B41*B43</f>
        <v>66518.150000000009</v>
      </c>
      <c r="C44" s="6"/>
      <c r="D44" s="6"/>
      <c r="E44" s="6"/>
      <c r="F44" s="6"/>
      <c r="G44" s="5" t="s">
        <v>477</v>
      </c>
      <c r="H44" s="41">
        <v>0.04</v>
      </c>
      <c r="I44" s="6"/>
      <c r="J44" s="6"/>
      <c r="K44" s="6"/>
      <c r="L44" s="6"/>
      <c r="M44" s="6"/>
      <c r="N44" s="6"/>
      <c r="O44" s="6"/>
      <c r="P44" s="6"/>
      <c r="Q44" s="6"/>
      <c r="R44" s="6"/>
    </row>
    <row r="45" spans="1:18">
      <c r="A45" s="6" t="s">
        <v>918</v>
      </c>
      <c r="B45" s="6">
        <f>H41*(1-D66)</f>
        <v>14.150140540540539</v>
      </c>
      <c r="C45" s="6"/>
      <c r="D45" s="6"/>
      <c r="E45" s="6"/>
      <c r="F45" s="6"/>
      <c r="G45" s="5" t="s">
        <v>203</v>
      </c>
      <c r="H45" s="6" cm="1">
        <f t="array" ref="H45">Table23[Value]</f>
        <v>1.0378472999489652</v>
      </c>
      <c r="I45" s="6"/>
      <c r="J45" s="6"/>
      <c r="K45" s="6"/>
      <c r="L45" s="6"/>
      <c r="M45" s="6"/>
      <c r="N45" s="6"/>
      <c r="O45" s="6"/>
      <c r="P45" s="6"/>
      <c r="Q45" s="6"/>
      <c r="R45" s="6"/>
    </row>
    <row r="46" spans="1:18">
      <c r="A46" s="5" t="s">
        <v>283</v>
      </c>
      <c r="B46" s="6">
        <f>B45*B51</f>
        <v>11856.892051444056</v>
      </c>
      <c r="C46" s="6"/>
      <c r="D46" s="6"/>
      <c r="E46" s="6"/>
      <c r="F46" s="6"/>
      <c r="G46" s="5" t="s">
        <v>478</v>
      </c>
      <c r="H46" s="41">
        <v>0.1</v>
      </c>
      <c r="I46" s="6"/>
      <c r="J46" s="6"/>
      <c r="K46" s="6"/>
      <c r="L46" s="6"/>
      <c r="M46" s="6"/>
      <c r="N46" s="6"/>
      <c r="O46" s="6"/>
      <c r="P46" s="6"/>
      <c r="Q46" s="6"/>
      <c r="R46" s="6"/>
    </row>
    <row r="47" spans="1:18">
      <c r="A47" s="6"/>
      <c r="B47" s="6"/>
      <c r="C47" s="6"/>
      <c r="D47" s="6"/>
      <c r="E47" s="6"/>
      <c r="F47" s="6"/>
      <c r="G47" s="5" t="s">
        <v>479</v>
      </c>
      <c r="H47" s="41">
        <v>0.06</v>
      </c>
      <c r="I47" s="6"/>
      <c r="J47" s="6"/>
      <c r="K47" s="6"/>
      <c r="L47" s="6"/>
      <c r="M47" s="6"/>
      <c r="N47" s="6"/>
      <c r="O47" s="6"/>
      <c r="P47" s="6"/>
      <c r="Q47" s="6"/>
      <c r="R47" s="6"/>
    </row>
    <row r="48" spans="1:18">
      <c r="A48" s="6" t="s">
        <v>917</v>
      </c>
      <c r="B48" s="6">
        <f>B46-B44</f>
        <v>-54661.257948555954</v>
      </c>
      <c r="C48" s="6"/>
      <c r="D48" s="6"/>
      <c r="E48" s="6"/>
      <c r="F48" s="6"/>
      <c r="G48" s="5" t="s">
        <v>516</v>
      </c>
      <c r="H48" s="41">
        <f>H44+(H45*H47)</f>
        <v>0.10227083799693791</v>
      </c>
      <c r="I48" s="6"/>
      <c r="J48" s="6"/>
      <c r="K48" s="6"/>
      <c r="L48" s="6"/>
      <c r="M48" s="6"/>
      <c r="N48" s="6"/>
      <c r="O48" s="6"/>
      <c r="P48" s="6"/>
      <c r="Q48" s="6"/>
      <c r="R48" s="6"/>
    </row>
    <row r="49" spans="1:18">
      <c r="A49" s="6" t="s">
        <v>284</v>
      </c>
      <c r="B49" s="40">
        <f>B48/(B43-B42)</f>
        <v>-5374.7549605266413</v>
      </c>
      <c r="C49" s="6"/>
      <c r="D49" s="6"/>
      <c r="E49" s="6"/>
      <c r="F49" s="6"/>
      <c r="G49" s="5" t="s">
        <v>485</v>
      </c>
      <c r="H49" s="41"/>
      <c r="I49" s="6"/>
      <c r="J49" s="6"/>
      <c r="K49" s="6"/>
      <c r="L49" s="6"/>
      <c r="M49" s="6"/>
      <c r="N49" s="6"/>
      <c r="O49" s="6"/>
      <c r="P49" s="6"/>
      <c r="Q49" s="6"/>
      <c r="R49" s="6"/>
    </row>
    <row r="50" spans="1:18">
      <c r="A50" s="6" t="s">
        <v>285</v>
      </c>
      <c r="B50" s="40">
        <f>B49/(1+B43)</f>
        <v>-479.46074580969145</v>
      </c>
      <c r="C50" s="6"/>
      <c r="D50" s="6"/>
      <c r="E50" s="6"/>
      <c r="F50" s="6"/>
      <c r="G50" s="47" t="s">
        <v>480</v>
      </c>
      <c r="H50" s="48" t="s">
        <v>481</v>
      </c>
      <c r="I50" s="48" t="s">
        <v>482</v>
      </c>
      <c r="J50" s="48" t="s">
        <v>483</v>
      </c>
      <c r="K50" s="6"/>
      <c r="L50" s="6"/>
      <c r="M50" s="6"/>
      <c r="N50" s="6"/>
      <c r="O50" s="6"/>
      <c r="P50" s="6"/>
      <c r="Q50" s="6"/>
      <c r="R50" s="6"/>
    </row>
    <row r="51" spans="1:18">
      <c r="A51" s="6" t="s">
        <v>286</v>
      </c>
      <c r="B51" s="40">
        <f>B26</f>
        <v>837.93457863359993</v>
      </c>
      <c r="C51" s="6"/>
      <c r="D51" s="6"/>
      <c r="E51" s="6"/>
      <c r="F51" s="6"/>
      <c r="G51" s="49">
        <v>0.04</v>
      </c>
      <c r="H51" s="38">
        <v>550</v>
      </c>
      <c r="I51" s="38">
        <v>500</v>
      </c>
      <c r="J51" s="38">
        <v>460</v>
      </c>
      <c r="K51" s="6"/>
      <c r="L51" s="6"/>
      <c r="M51" s="6"/>
      <c r="N51" s="6"/>
      <c r="O51" s="6"/>
      <c r="P51" s="6"/>
      <c r="Q51" s="6"/>
      <c r="R51" s="6"/>
    </row>
    <row r="52" spans="1:18">
      <c r="A52" s="6" t="s">
        <v>328</v>
      </c>
      <c r="B52" s="40">
        <f>B53+B49</f>
        <v>1140.2450394733587</v>
      </c>
      <c r="C52" s="6"/>
      <c r="D52" s="6"/>
      <c r="E52" s="6"/>
      <c r="F52" s="6"/>
      <c r="G52" s="49">
        <v>0.05</v>
      </c>
      <c r="H52" s="38">
        <v>620</v>
      </c>
      <c r="I52" s="38">
        <v>615</v>
      </c>
      <c r="J52" s="38">
        <v>580</v>
      </c>
      <c r="K52" s="6"/>
      <c r="L52" s="6"/>
      <c r="M52" s="6"/>
      <c r="N52" s="6"/>
      <c r="O52" s="6"/>
      <c r="P52" s="6"/>
      <c r="Q52" s="6"/>
      <c r="R52" s="6"/>
    </row>
    <row r="53" spans="1:18">
      <c r="A53" s="6" t="s">
        <v>287</v>
      </c>
      <c r="B53" s="45">
        <f>Balance_Sheet!F41</f>
        <v>6515</v>
      </c>
      <c r="C53" s="6"/>
      <c r="D53" s="6"/>
      <c r="E53" s="6"/>
      <c r="F53" s="6"/>
      <c r="G53" s="49">
        <v>0.06</v>
      </c>
      <c r="H53" s="38">
        <v>700</v>
      </c>
      <c r="I53" s="38">
        <v>690</v>
      </c>
      <c r="J53" s="38">
        <v>650</v>
      </c>
      <c r="K53" s="6"/>
      <c r="L53" s="6"/>
      <c r="M53" s="6"/>
      <c r="N53" s="6"/>
      <c r="O53" s="6"/>
      <c r="P53" s="6"/>
      <c r="Q53" s="6"/>
      <c r="R53" s="6"/>
    </row>
    <row r="54" spans="1:18">
      <c r="A54" s="5" t="s">
        <v>327</v>
      </c>
      <c r="B54" s="40">
        <f>B52/B51</f>
        <v>1.3607805054813817</v>
      </c>
      <c r="C54" s="6"/>
      <c r="D54" s="6"/>
      <c r="E54" s="6"/>
      <c r="F54" s="6"/>
      <c r="G54" s="6"/>
      <c r="H54" s="6"/>
      <c r="I54" s="6"/>
      <c r="J54" s="6"/>
      <c r="K54" s="6"/>
      <c r="L54" s="6"/>
      <c r="M54" s="6"/>
      <c r="N54" s="6"/>
      <c r="O54" s="6"/>
      <c r="P54" s="6"/>
      <c r="Q54" s="6"/>
      <c r="R54" s="6"/>
    </row>
    <row r="55" spans="1:18">
      <c r="A55" s="201" t="s">
        <v>978</v>
      </c>
      <c r="B55" s="201"/>
      <c r="C55" s="199"/>
      <c r="D55" s="6"/>
      <c r="E55" s="6"/>
      <c r="F55" s="6"/>
      <c r="G55" s="6"/>
      <c r="H55" s="6"/>
      <c r="I55" s="6"/>
      <c r="J55" s="6"/>
      <c r="K55" s="6"/>
      <c r="L55" s="6"/>
      <c r="M55" s="6"/>
      <c r="N55" s="6"/>
      <c r="O55" s="6"/>
      <c r="P55" s="6"/>
      <c r="Q55" s="6"/>
      <c r="R55" s="6"/>
    </row>
    <row r="56" spans="1:18">
      <c r="A56" s="5" t="s">
        <v>490</v>
      </c>
      <c r="B56" s="6"/>
      <c r="C56" s="6"/>
      <c r="D56" s="6"/>
      <c r="E56" s="6"/>
      <c r="F56" s="6"/>
      <c r="G56" s="6"/>
      <c r="H56" s="6"/>
      <c r="I56" s="6"/>
      <c r="J56" s="6"/>
      <c r="K56" s="6"/>
      <c r="L56" s="6"/>
      <c r="M56" s="6"/>
      <c r="N56" s="6"/>
      <c r="O56" s="6"/>
      <c r="P56" s="6"/>
      <c r="Q56" s="6"/>
      <c r="R56" s="6"/>
    </row>
    <row r="57" spans="1:18">
      <c r="A57" s="6" t="s">
        <v>486</v>
      </c>
      <c r="B57" s="6" t="s">
        <v>112</v>
      </c>
      <c r="C57" s="6"/>
      <c r="D57" s="6"/>
      <c r="E57" s="6"/>
      <c r="F57" s="6"/>
      <c r="G57" s="6"/>
      <c r="H57" s="6"/>
      <c r="I57" s="6"/>
      <c r="J57" s="6"/>
      <c r="K57" s="6"/>
      <c r="L57" s="6"/>
      <c r="M57" s="6"/>
      <c r="N57" s="6"/>
      <c r="O57" s="6"/>
      <c r="P57" s="6"/>
      <c r="Q57" s="6"/>
      <c r="R57" s="6"/>
    </row>
    <row r="58" spans="1:18">
      <c r="A58" s="6" t="s">
        <v>487</v>
      </c>
      <c r="B58" s="50">
        <f>B15</f>
        <v>66.395913835178121</v>
      </c>
      <c r="C58" s="6"/>
      <c r="D58" s="6"/>
      <c r="E58" s="6"/>
      <c r="F58" s="6"/>
      <c r="G58" s="6"/>
      <c r="H58" s="6"/>
      <c r="I58" s="6"/>
      <c r="J58" s="6"/>
      <c r="K58" s="6"/>
      <c r="L58" s="6"/>
      <c r="M58" s="6"/>
      <c r="N58" s="6"/>
      <c r="O58" s="6"/>
      <c r="P58" s="6"/>
      <c r="Q58" s="6"/>
      <c r="R58" s="6"/>
    </row>
    <row r="59" spans="1:18">
      <c r="A59" s="6" t="s">
        <v>217</v>
      </c>
      <c r="B59" s="50">
        <f>B106</f>
        <v>338.00513943437772</v>
      </c>
      <c r="C59" s="6"/>
      <c r="D59" s="6"/>
      <c r="E59" s="6"/>
      <c r="F59" s="6"/>
      <c r="G59" s="6"/>
      <c r="H59" s="6"/>
      <c r="I59" s="6"/>
      <c r="J59" s="6"/>
      <c r="K59" s="6"/>
      <c r="L59" s="6"/>
      <c r="M59" s="6"/>
      <c r="N59" s="6"/>
      <c r="O59" s="6"/>
      <c r="P59" s="6"/>
      <c r="Q59" s="6"/>
      <c r="R59" s="6"/>
    </row>
    <row r="60" spans="1:18">
      <c r="A60" s="6" t="s">
        <v>276</v>
      </c>
      <c r="B60" s="40">
        <f>E39</f>
        <v>358.78183783783783</v>
      </c>
      <c r="C60" s="6"/>
      <c r="D60" s="6"/>
      <c r="E60" s="6"/>
      <c r="F60" s="6"/>
      <c r="G60" s="6"/>
      <c r="H60" s="6"/>
      <c r="I60" s="6"/>
      <c r="J60" s="6"/>
      <c r="K60" s="6"/>
      <c r="L60" s="6"/>
      <c r="M60" s="6"/>
      <c r="N60" s="6"/>
      <c r="O60" s="6"/>
      <c r="P60" s="6"/>
      <c r="Q60" s="6"/>
      <c r="R60" s="6"/>
    </row>
    <row r="61" spans="1:18">
      <c r="A61" s="6" t="s">
        <v>488</v>
      </c>
      <c r="B61" s="50">
        <f>B52</f>
        <v>1140.2450394733587</v>
      </c>
      <c r="C61" s="6"/>
      <c r="D61" s="6"/>
      <c r="E61" s="6"/>
      <c r="F61" s="6"/>
      <c r="G61" s="6"/>
      <c r="H61" s="6"/>
      <c r="I61" s="6"/>
      <c r="J61" s="6"/>
      <c r="K61" s="6"/>
      <c r="L61" s="6"/>
      <c r="M61" s="6"/>
      <c r="N61" s="6"/>
      <c r="O61" s="6"/>
      <c r="P61" s="6"/>
      <c r="Q61" s="6"/>
      <c r="R61" s="6"/>
    </row>
    <row r="62" spans="1:18">
      <c r="A62" s="6" t="s">
        <v>489</v>
      </c>
      <c r="B62" s="209">
        <f>(B59+B60)/2</f>
        <v>348.3934886361078</v>
      </c>
      <c r="C62" s="6"/>
      <c r="D62" s="6"/>
      <c r="E62" s="6"/>
      <c r="F62" s="6"/>
      <c r="G62" s="6"/>
      <c r="H62" s="6"/>
      <c r="I62" s="6"/>
      <c r="J62" s="6"/>
      <c r="K62" s="6"/>
      <c r="L62" s="6"/>
      <c r="M62" s="6"/>
      <c r="N62" s="6"/>
      <c r="O62" s="6"/>
      <c r="P62" s="6"/>
      <c r="Q62" s="6"/>
      <c r="R62" s="6"/>
    </row>
    <row r="63" spans="1:18">
      <c r="A63" s="5" t="s">
        <v>494</v>
      </c>
      <c r="B63" s="50"/>
      <c r="C63" s="6"/>
      <c r="D63" s="6"/>
      <c r="E63" s="6"/>
      <c r="F63" s="6"/>
      <c r="G63" s="6"/>
      <c r="H63" s="6"/>
      <c r="I63" s="6"/>
      <c r="J63" s="6" t="s">
        <v>494</v>
      </c>
      <c r="K63" s="6"/>
      <c r="L63" s="6"/>
      <c r="M63" s="6"/>
      <c r="N63" s="6"/>
      <c r="O63" s="6"/>
      <c r="P63" s="6"/>
      <c r="Q63" s="6"/>
      <c r="R63" s="6"/>
    </row>
    <row r="64" spans="1:18">
      <c r="A64" s="47" t="s">
        <v>455</v>
      </c>
      <c r="B64" s="47" t="s">
        <v>149</v>
      </c>
      <c r="C64" s="47" t="s">
        <v>503</v>
      </c>
      <c r="D64" s="47" t="s">
        <v>114</v>
      </c>
      <c r="E64" s="47" t="s">
        <v>504</v>
      </c>
      <c r="F64" s="47" t="s">
        <v>505</v>
      </c>
      <c r="G64" s="47" t="s">
        <v>506</v>
      </c>
      <c r="H64" s="47" t="s">
        <v>507</v>
      </c>
      <c r="I64" s="6"/>
      <c r="J64" s="47" t="s">
        <v>455</v>
      </c>
      <c r="K64" s="47" t="s">
        <v>512</v>
      </c>
      <c r="L64" s="47" t="s">
        <v>513</v>
      </c>
      <c r="M64" s="47" t="s">
        <v>514</v>
      </c>
      <c r="N64" s="47" t="s">
        <v>515</v>
      </c>
      <c r="O64" s="6"/>
      <c r="P64" s="6"/>
      <c r="Q64" s="6"/>
      <c r="R64" s="6"/>
    </row>
    <row r="65" spans="1:18">
      <c r="A65" s="38">
        <v>2024</v>
      </c>
      <c r="B65" s="38" t="s">
        <v>508</v>
      </c>
      <c r="C65" s="38" t="s">
        <v>508</v>
      </c>
      <c r="D65" s="51">
        <v>0.156</v>
      </c>
      <c r="E65" s="38" t="s">
        <v>508</v>
      </c>
      <c r="F65" s="38" t="s">
        <v>508</v>
      </c>
      <c r="G65" s="38" t="s">
        <v>508</v>
      </c>
      <c r="H65" s="38" t="s">
        <v>509</v>
      </c>
      <c r="I65" s="6"/>
      <c r="J65" s="38" t="s">
        <v>124</v>
      </c>
      <c r="K65" s="49">
        <v>0.18</v>
      </c>
      <c r="L65" s="49">
        <v>0.08</v>
      </c>
      <c r="M65" s="49">
        <v>0.08</v>
      </c>
      <c r="N65" s="49">
        <v>0.1</v>
      </c>
      <c r="O65" s="6"/>
      <c r="P65" s="6"/>
      <c r="Q65" s="6"/>
      <c r="R65" s="6"/>
    </row>
    <row r="66" spans="1:18">
      <c r="A66" s="38" t="s">
        <v>124</v>
      </c>
      <c r="B66" s="49">
        <v>0.18</v>
      </c>
      <c r="C66" s="49">
        <v>0.54</v>
      </c>
      <c r="D66" s="49">
        <v>0.16</v>
      </c>
      <c r="E66" s="51">
        <v>5.5E-2</v>
      </c>
      <c r="F66" s="49">
        <v>7.0000000000000007E-2</v>
      </c>
      <c r="G66" s="49">
        <v>0.25</v>
      </c>
      <c r="H66" s="49">
        <v>0.18</v>
      </c>
      <c r="I66" s="6"/>
      <c r="J66" s="38" t="s">
        <v>125</v>
      </c>
      <c r="K66" s="49">
        <v>0.16</v>
      </c>
      <c r="L66" s="49">
        <v>0.08</v>
      </c>
      <c r="M66" s="49">
        <v>0.08</v>
      </c>
      <c r="N66" s="49">
        <v>0.1</v>
      </c>
      <c r="O66" s="6"/>
      <c r="P66" s="6"/>
      <c r="Q66" s="6"/>
      <c r="R66" s="6"/>
    </row>
    <row r="67" spans="1:18">
      <c r="A67" s="38" t="s">
        <v>125</v>
      </c>
      <c r="B67" s="49">
        <v>0.16</v>
      </c>
      <c r="C67" s="49">
        <v>0.54</v>
      </c>
      <c r="D67" s="49">
        <v>0.16</v>
      </c>
      <c r="E67" s="51">
        <v>5.5E-2</v>
      </c>
      <c r="F67" s="49">
        <v>7.0000000000000007E-2</v>
      </c>
      <c r="G67" s="49">
        <v>0.25</v>
      </c>
      <c r="H67" s="49">
        <v>0.16</v>
      </c>
      <c r="I67" s="6"/>
      <c r="J67" s="38" t="s">
        <v>126</v>
      </c>
      <c r="K67" s="49">
        <v>0.13</v>
      </c>
      <c r="L67" s="49">
        <v>0.08</v>
      </c>
      <c r="M67" s="49">
        <v>0.08</v>
      </c>
      <c r="N67" s="49">
        <v>0.1</v>
      </c>
      <c r="O67" s="6"/>
      <c r="P67" s="6"/>
      <c r="Q67" s="6"/>
      <c r="R67" s="6"/>
    </row>
    <row r="68" spans="1:18">
      <c r="A68" s="38" t="s">
        <v>126</v>
      </c>
      <c r="B68" s="49">
        <v>0.13</v>
      </c>
      <c r="C68" s="49">
        <v>0.54</v>
      </c>
      <c r="D68" s="49">
        <v>0.16</v>
      </c>
      <c r="E68" s="51">
        <v>5.5E-2</v>
      </c>
      <c r="F68" s="49">
        <v>7.0000000000000007E-2</v>
      </c>
      <c r="G68" s="49">
        <v>0.25</v>
      </c>
      <c r="H68" s="49">
        <v>0.13</v>
      </c>
      <c r="I68" s="6"/>
      <c r="J68" s="38" t="s">
        <v>127</v>
      </c>
      <c r="K68" s="49">
        <v>0.1</v>
      </c>
      <c r="L68" s="49">
        <v>0.08</v>
      </c>
      <c r="M68" s="49">
        <v>0.08</v>
      </c>
      <c r="N68" s="49">
        <v>0.1</v>
      </c>
      <c r="O68" s="6"/>
      <c r="P68" s="6"/>
      <c r="Q68" s="6"/>
      <c r="R68" s="6"/>
    </row>
    <row r="69" spans="1:18">
      <c r="A69" s="38" t="s">
        <v>127</v>
      </c>
      <c r="B69" s="49">
        <v>0.1</v>
      </c>
      <c r="C69" s="49">
        <v>0.54</v>
      </c>
      <c r="D69" s="49">
        <v>0.16</v>
      </c>
      <c r="E69" s="51">
        <v>5.5E-2</v>
      </c>
      <c r="F69" s="49">
        <v>7.0000000000000007E-2</v>
      </c>
      <c r="G69" s="49">
        <v>0.25</v>
      </c>
      <c r="H69" s="49">
        <v>0.1</v>
      </c>
      <c r="I69" s="6"/>
      <c r="J69" s="38" t="s">
        <v>128</v>
      </c>
      <c r="K69" s="49">
        <v>7.0000000000000007E-2</v>
      </c>
      <c r="L69" s="49">
        <v>0.08</v>
      </c>
      <c r="M69" s="49">
        <v>0.08</v>
      </c>
      <c r="N69" s="49">
        <v>0.1</v>
      </c>
      <c r="O69" s="6"/>
      <c r="P69" s="6"/>
      <c r="Q69" s="6"/>
      <c r="R69" s="6"/>
    </row>
    <row r="70" spans="1:18">
      <c r="A70" s="38" t="s">
        <v>128</v>
      </c>
      <c r="B70" s="49">
        <v>7.0000000000000007E-2</v>
      </c>
      <c r="C70" s="49">
        <v>0.54</v>
      </c>
      <c r="D70" s="49">
        <v>0.16</v>
      </c>
      <c r="E70" s="51">
        <v>5.5E-2</v>
      </c>
      <c r="F70" s="49">
        <v>7.0000000000000007E-2</v>
      </c>
      <c r="G70" s="49">
        <v>0.25</v>
      </c>
      <c r="H70" s="49">
        <v>7.0000000000000007E-2</v>
      </c>
      <c r="I70" s="6"/>
      <c r="J70" s="38" t="s">
        <v>510</v>
      </c>
      <c r="K70" s="49">
        <v>0.05</v>
      </c>
      <c r="L70" s="38" t="s">
        <v>511</v>
      </c>
      <c r="M70" s="38" t="s">
        <v>511</v>
      </c>
      <c r="N70" s="38" t="s">
        <v>511</v>
      </c>
      <c r="O70" s="6"/>
      <c r="P70" s="6"/>
      <c r="Q70" s="6"/>
      <c r="R70" s="6"/>
    </row>
    <row r="71" spans="1:18">
      <c r="A71" s="38" t="s">
        <v>510</v>
      </c>
      <c r="B71" s="49">
        <v>0.05</v>
      </c>
      <c r="C71" s="38" t="s">
        <v>511</v>
      </c>
      <c r="D71" s="49">
        <v>0.16</v>
      </c>
      <c r="E71" s="38" t="s">
        <v>511</v>
      </c>
      <c r="F71" s="38" t="s">
        <v>511</v>
      </c>
      <c r="G71" s="38" t="s">
        <v>511</v>
      </c>
      <c r="H71" s="49">
        <v>0.05</v>
      </c>
      <c r="I71" s="6"/>
      <c r="J71" s="6"/>
      <c r="K71" s="6"/>
      <c r="L71" s="6"/>
      <c r="M71" s="6"/>
      <c r="N71" s="6"/>
      <c r="O71" s="6"/>
      <c r="P71" s="6"/>
      <c r="Q71" s="6"/>
      <c r="R71" s="6"/>
    </row>
    <row r="72" spans="1:18">
      <c r="A72" s="6"/>
      <c r="B72" s="6"/>
      <c r="C72" s="6"/>
      <c r="D72" s="6"/>
      <c r="E72" s="6"/>
      <c r="F72" s="6"/>
      <c r="G72" s="6"/>
      <c r="H72" s="6"/>
      <c r="I72" s="6"/>
      <c r="J72" s="6"/>
      <c r="K72" s="6"/>
      <c r="L72" s="6"/>
      <c r="M72" s="6"/>
      <c r="N72" s="6"/>
      <c r="O72" s="6"/>
      <c r="P72" s="6"/>
      <c r="Q72" s="6"/>
      <c r="R72" s="6"/>
    </row>
    <row r="73" spans="1:18">
      <c r="A73" s="195" t="s">
        <v>956</v>
      </c>
      <c r="D73" s="195" t="s">
        <v>957</v>
      </c>
    </row>
    <row r="74" spans="1:18">
      <c r="A74" t="s">
        <v>129</v>
      </c>
      <c r="B74" t="s">
        <v>112</v>
      </c>
      <c r="D74" t="s">
        <v>455</v>
      </c>
      <c r="E74" t="s">
        <v>537</v>
      </c>
      <c r="F74" t="s">
        <v>958</v>
      </c>
      <c r="G74" t="s">
        <v>959</v>
      </c>
      <c r="H74" t="s">
        <v>960</v>
      </c>
    </row>
    <row r="75" spans="1:18">
      <c r="A75" t="s">
        <v>477</v>
      </c>
      <c r="B75" s="169">
        <f>'DCF Valuation'!B4</f>
        <v>4.4999999999999998E-2</v>
      </c>
      <c r="D75" t="s">
        <v>961</v>
      </c>
      <c r="E75">
        <f>'Profit Loss'!F4</f>
        <v>28167</v>
      </c>
      <c r="F75" s="168">
        <v>0.1</v>
      </c>
      <c r="G75" s="188">
        <f t="shared" ref="G75:G80" si="0">E75*F75</f>
        <v>2816.7000000000003</v>
      </c>
      <c r="H75" t="s">
        <v>317</v>
      </c>
    </row>
    <row r="76" spans="1:18">
      <c r="A76" t="s">
        <v>203</v>
      </c>
      <c r="B76">
        <f>'DCF Valuation'!B6</f>
        <v>1.0378472999489652</v>
      </c>
      <c r="D76" t="s">
        <v>124</v>
      </c>
      <c r="E76" s="187">
        <f>'Profit Loss'!G4</f>
        <v>31265.370000000003</v>
      </c>
      <c r="F76" s="168">
        <v>0.1</v>
      </c>
      <c r="G76" s="188">
        <f t="shared" si="0"/>
        <v>3126.5370000000003</v>
      </c>
      <c r="H76" s="188">
        <f>G76-G75</f>
        <v>309.83699999999999</v>
      </c>
    </row>
    <row r="77" spans="1:18">
      <c r="A77" t="s">
        <v>479</v>
      </c>
      <c r="B77" s="169">
        <f>'DCF Valuation'!B15</f>
        <v>5.5000000000000007E-2</v>
      </c>
      <c r="D77" t="s">
        <v>125</v>
      </c>
      <c r="E77" s="188">
        <f>'Profit Loss'!H4</f>
        <v>34391.907000000007</v>
      </c>
      <c r="F77" s="168">
        <v>0.1</v>
      </c>
      <c r="G77" s="188">
        <f t="shared" si="0"/>
        <v>3439.190700000001</v>
      </c>
      <c r="H77" s="188">
        <f>G77-G76</f>
        <v>312.65370000000075</v>
      </c>
    </row>
    <row r="78" spans="1:18">
      <c r="A78" t="s">
        <v>205</v>
      </c>
      <c r="B78" s="169">
        <f>'DCF Valuation'!B9</f>
        <v>0.10208160149719309</v>
      </c>
      <c r="D78" t="s">
        <v>126</v>
      </c>
      <c r="E78" s="188">
        <f>'Profit Loss'!I4</f>
        <v>37487.178630000009</v>
      </c>
      <c r="F78" s="168">
        <v>0.1</v>
      </c>
      <c r="G78" s="188">
        <f t="shared" si="0"/>
        <v>3748.7178630000012</v>
      </c>
      <c r="H78" s="188">
        <f>G78-G77</f>
        <v>309.5271630000002</v>
      </c>
    </row>
    <row r="79" spans="1:18">
      <c r="A79" t="s">
        <v>913</v>
      </c>
      <c r="B79" s="169">
        <f>'DCF Valuation'!B10</f>
        <v>4.4999999999999998E-2</v>
      </c>
      <c r="D79" t="s">
        <v>127</v>
      </c>
      <c r="E79" s="188">
        <f>'Profit Loss'!J4</f>
        <v>40486.152920400011</v>
      </c>
      <c r="F79" s="168">
        <v>0.1</v>
      </c>
      <c r="G79" s="188">
        <f t="shared" si="0"/>
        <v>4048.6152920400013</v>
      </c>
      <c r="H79" s="188">
        <f>G79-G78</f>
        <v>299.89742904000013</v>
      </c>
    </row>
    <row r="80" spans="1:18">
      <c r="A80" t="s">
        <v>114</v>
      </c>
      <c r="B80" s="169">
        <f>'DCF Valuation'!B7</f>
        <v>0.16</v>
      </c>
      <c r="D80" t="s">
        <v>128</v>
      </c>
      <c r="E80" s="188">
        <f>'Profit Loss'!K4</f>
        <v>43320.183624828016</v>
      </c>
      <c r="F80" s="168">
        <v>0.1</v>
      </c>
      <c r="G80" s="188">
        <f t="shared" si="0"/>
        <v>4332.0183624828014</v>
      </c>
      <c r="H80" s="188">
        <f>G80-G79</f>
        <v>283.40307044280007</v>
      </c>
    </row>
    <row r="81" spans="1:8">
      <c r="A81" t="s">
        <v>930</v>
      </c>
      <c r="B81" s="169">
        <f>'DCF Valuation'!B12</f>
        <v>4.6107155554916068E-2</v>
      </c>
    </row>
    <row r="82" spans="1:8">
      <c r="A82" t="s">
        <v>929</v>
      </c>
      <c r="B82" s="169">
        <f>'DCF Valuation'!B11</f>
        <v>0.95389284444508393</v>
      </c>
    </row>
    <row r="83" spans="1:8">
      <c r="A83" t="s">
        <v>210</v>
      </c>
      <c r="B83" s="169">
        <f>'DCF Valuation'!B13</f>
        <v>9.9117759697642874E-2</v>
      </c>
    </row>
    <row r="84" spans="1:8">
      <c r="A84" t="s">
        <v>962</v>
      </c>
      <c r="B84" s="169">
        <f>'DCF Valuation'!B8</f>
        <v>0.03</v>
      </c>
    </row>
    <row r="85" spans="1:8">
      <c r="A85" t="s">
        <v>943</v>
      </c>
      <c r="B85">
        <v>837.93457863359993</v>
      </c>
    </row>
    <row r="87" spans="1:8">
      <c r="A87" t="s">
        <v>963</v>
      </c>
    </row>
    <row r="88" spans="1:8">
      <c r="A88" t="s">
        <v>455</v>
      </c>
      <c r="B88" t="s">
        <v>212</v>
      </c>
      <c r="C88" t="s">
        <v>114</v>
      </c>
      <c r="D88" t="s">
        <v>918</v>
      </c>
      <c r="E88" t="s">
        <v>214</v>
      </c>
      <c r="F88" t="s">
        <v>964</v>
      </c>
      <c r="G88" t="s">
        <v>960</v>
      </c>
      <c r="H88" t="s">
        <v>217</v>
      </c>
    </row>
    <row r="89" spans="1:8">
      <c r="A89" t="s">
        <v>124</v>
      </c>
      <c r="B89" s="188">
        <f>'Profit Loss'!G25</f>
        <v>18164.713500000002</v>
      </c>
      <c r="C89" s="168">
        <v>0.16</v>
      </c>
      <c r="D89">
        <f>B89*(1-C89)</f>
        <v>15258.359340000001</v>
      </c>
      <c r="E89" s="188">
        <f>'Profit Loss'!G8</f>
        <v>968.7600000000001</v>
      </c>
      <c r="F89" s="188">
        <f>('Cash Flow'!G31-'Cash Flow'!G32)</f>
        <v>258.29999999999995</v>
      </c>
      <c r="G89" s="196">
        <f>H76</f>
        <v>309.83699999999999</v>
      </c>
      <c r="H89" s="188">
        <f>D89+E89-F89-G89</f>
        <v>15658.982340000002</v>
      </c>
    </row>
    <row r="90" spans="1:8">
      <c r="A90" t="s">
        <v>125</v>
      </c>
      <c r="B90" s="188">
        <f>'Profit Loss'!H25</f>
        <v>20305.728720000003</v>
      </c>
      <c r="C90" s="168">
        <v>0.16</v>
      </c>
      <c r="D90">
        <f>B90*(1-C90)</f>
        <v>17056.812124800002</v>
      </c>
      <c r="E90" s="188">
        <f>'Profit Loss'!H8</f>
        <v>1046.2608000000002</v>
      </c>
      <c r="F90" s="188">
        <f>('Cash Flow'!H31-'Cash Flow'!H32)</f>
        <v>271.21500000000003</v>
      </c>
      <c r="G90" s="196">
        <f>H77</f>
        <v>312.65370000000075</v>
      </c>
      <c r="H90" s="188">
        <f>D90+E90-F90-G90</f>
        <v>17519.2042248</v>
      </c>
    </row>
    <row r="91" spans="1:8">
      <c r="A91" t="s">
        <v>126</v>
      </c>
      <c r="B91" s="188">
        <f>'Profit Loss'!I25</f>
        <v>22310.217589950007</v>
      </c>
      <c r="C91" s="168">
        <v>0.16</v>
      </c>
      <c r="D91">
        <f>B91*(1-C91)</f>
        <v>18740.582775558007</v>
      </c>
      <c r="E91" s="188">
        <f>'Profit Loss'!I8</f>
        <v>1129.9616640000004</v>
      </c>
      <c r="F91" s="188">
        <f>('Cash Flow'!I31-'Cash Flow'!I32)</f>
        <v>284.77575000000002</v>
      </c>
      <c r="G91" s="196">
        <f>H78</f>
        <v>309.5271630000002</v>
      </c>
      <c r="H91" s="188">
        <f>D91+E91-F91-G91</f>
        <v>19276.241526558006</v>
      </c>
    </row>
    <row r="92" spans="1:8">
      <c r="A92" t="s">
        <v>127</v>
      </c>
      <c r="B92" s="188">
        <f>'Profit Loss'!J25</f>
        <v>24297.465761748008</v>
      </c>
      <c r="C92" s="168">
        <v>0.16</v>
      </c>
      <c r="D92">
        <f>B92*(1-C92)</f>
        <v>20409.871239868327</v>
      </c>
      <c r="E92" s="188">
        <f>'Profit Loss'!J8</f>
        <v>1220.3585971200005</v>
      </c>
      <c r="F92" s="188">
        <f>('Cash Flow'!J31-'Cash Flow'!J32)</f>
        <v>299.01453750000007</v>
      </c>
      <c r="G92" s="196">
        <f>H79</f>
        <v>299.89742904000013</v>
      </c>
      <c r="H92" s="188">
        <f>D92+E92-F92-G92</f>
        <v>21031.317870448329</v>
      </c>
    </row>
    <row r="93" spans="1:8">
      <c r="A93" t="s">
        <v>128</v>
      </c>
      <c r="B93" s="188">
        <f>'Profit Loss'!K25</f>
        <v>26227.09286916571</v>
      </c>
      <c r="C93" s="168">
        <v>0.16</v>
      </c>
      <c r="D93">
        <f>B93*(1-C93)</f>
        <v>22030.758010099195</v>
      </c>
      <c r="E93" s="188">
        <f>'Profit Loss'!K8</f>
        <v>1317.9872848896007</v>
      </c>
      <c r="F93" s="188">
        <f>('Cash Flow'!K31-'Cash Flow'!K32)</f>
        <v>313.96526437500006</v>
      </c>
      <c r="G93" s="196">
        <f>H80</f>
        <v>283.40307044280007</v>
      </c>
      <c r="H93" s="188">
        <f>D93+E93-F93-G93</f>
        <v>22751.376960170994</v>
      </c>
    </row>
    <row r="95" spans="1:8">
      <c r="A95" t="s">
        <v>965</v>
      </c>
    </row>
    <row r="96" spans="1:8">
      <c r="A96" t="s">
        <v>455</v>
      </c>
      <c r="B96" t="s">
        <v>217</v>
      </c>
      <c r="C96" t="s">
        <v>966</v>
      </c>
      <c r="D96" t="s">
        <v>967</v>
      </c>
      <c r="E96" t="s">
        <v>968</v>
      </c>
    </row>
    <row r="97" spans="1:5">
      <c r="A97">
        <v>2025</v>
      </c>
      <c r="B97" s="188">
        <f>H89</f>
        <v>15658.982340000002</v>
      </c>
      <c r="C97">
        <f>1/(1+$B$83)^1</f>
        <v>0.90982061856146401</v>
      </c>
      <c r="D97">
        <f>Table50[[#This Row],[FCFF]]*Table50[[#This Row],[Discount Factor (8.7%)]]</f>
        <v>14246.864998621842</v>
      </c>
      <c r="E97" s="188">
        <f t="shared" ref="E97" si="1">SUM(D97:D101)</f>
        <v>71860.679477973012</v>
      </c>
    </row>
    <row r="98" spans="1:5">
      <c r="A98">
        <v>2026</v>
      </c>
      <c r="B98" s="188">
        <f>H90</f>
        <v>17519.2042248</v>
      </c>
      <c r="C98">
        <f>1/(1+$B$83)^2</f>
        <v>0.82777355795956498</v>
      </c>
      <c r="D98">
        <f>Table50[[#This Row],[FCFF]]*Table50[[#This Row],[Discount Factor (8.7%)]]</f>
        <v>14501.934013782939</v>
      </c>
    </row>
    <row r="99" spans="1:5">
      <c r="A99">
        <v>2027</v>
      </c>
      <c r="B99" s="188">
        <f>H91</f>
        <v>19276.241526558006</v>
      </c>
      <c r="C99">
        <f>1/(1+$B$83)^3</f>
        <v>0.75312545053159519</v>
      </c>
      <c r="D99">
        <f>Table50[[#This Row],[FCFF]]*Table50[[#This Row],[Discount Factor (8.7%)]]</f>
        <v>14517.428084244842</v>
      </c>
    </row>
    <row r="100" spans="1:5">
      <c r="A100">
        <v>2028</v>
      </c>
      <c r="B100" s="188">
        <f>H92</f>
        <v>21031.317870448329</v>
      </c>
      <c r="C100">
        <f>1/(1+$B$83)^4</f>
        <v>0.68520906325703723</v>
      </c>
      <c r="D100">
        <f>Table50[[#This Row],[FCFF]]*Table50[[#This Row],[Discount Factor (8.7%)]]</f>
        <v>14410.849617070886</v>
      </c>
    </row>
    <row r="101" spans="1:5">
      <c r="A101">
        <v>2029</v>
      </c>
      <c r="B101" s="188">
        <f>H93</f>
        <v>22751.376960170994</v>
      </c>
      <c r="C101">
        <f>1/(1+$B$83)^5</f>
        <v>0.62341733377643893</v>
      </c>
      <c r="D101">
        <f>Table50[[#This Row],[FCFF]]*Table50[[#This Row],[Discount Factor (8.7%)]]</f>
        <v>14183.602764252502</v>
      </c>
    </row>
    <row r="102" spans="1:5">
      <c r="A102" t="s">
        <v>284</v>
      </c>
      <c r="B102">
        <f>H93*(1+B84)/(B83-B84)</f>
        <v>339043.37136342825</v>
      </c>
    </row>
    <row r="103" spans="1:5">
      <c r="A103" t="s">
        <v>936</v>
      </c>
      <c r="B103">
        <f>B102*C101</f>
        <v>211365.51460996349</v>
      </c>
    </row>
    <row r="104" spans="1:5">
      <c r="A104" t="s">
        <v>223</v>
      </c>
      <c r="B104" s="188">
        <f>E97+B103</f>
        <v>283226.19408793648</v>
      </c>
    </row>
    <row r="105" spans="1:5">
      <c r="A105" t="s">
        <v>474</v>
      </c>
      <c r="B105" s="188">
        <f>B104-0</f>
        <v>283226.19408793648</v>
      </c>
    </row>
    <row r="106" spans="1:5">
      <c r="A106" t="s">
        <v>475</v>
      </c>
      <c r="B106">
        <f>B105/B85</f>
        <v>338.00513943437772</v>
      </c>
    </row>
    <row r="107" spans="1:5">
      <c r="A107" t="s">
        <v>546</v>
      </c>
      <c r="B107">
        <v>430</v>
      </c>
    </row>
    <row r="108" spans="1:5">
      <c r="A108" t="s">
        <v>954</v>
      </c>
      <c r="B108">
        <f>B106</f>
        <v>338.00513943437772</v>
      </c>
    </row>
    <row r="109" spans="1:5">
      <c r="A109" t="s">
        <v>548</v>
      </c>
      <c r="B109" t="str">
        <f>IF(B110&gt;=0.15,"BUY",IF(B110&lt;=-0.1,"SELL","HOLD"))</f>
        <v>SELL</v>
      </c>
    </row>
    <row r="110" spans="1:5">
      <c r="A110" t="s">
        <v>547</v>
      </c>
      <c r="B110" s="169">
        <f>(B106-B107)/B107</f>
        <v>-0.21394153619912157</v>
      </c>
    </row>
  </sheetData>
  <pageMargins left="0.7" right="0.7" top="0.75" bottom="0.75" header="0.3" footer="0.3"/>
  <pageSetup orientation="portrait" r:id="rId1"/>
  <drawing r:id="rId2"/>
  <tableParts count="15">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B109C-E554-4411-A0B9-F50A863CD9BD}">
  <dimension ref="A1:F8"/>
  <sheetViews>
    <sheetView zoomScaleNormal="100" workbookViewId="0"/>
  </sheetViews>
  <sheetFormatPr defaultRowHeight="14"/>
  <cols>
    <col min="1" max="1" width="28.58203125" customWidth="1"/>
    <col min="2" max="2" width="18.4140625" customWidth="1"/>
    <col min="3" max="3" width="21.75" customWidth="1"/>
    <col min="4" max="4" width="18.1640625" customWidth="1"/>
    <col min="5" max="5" width="21.25" customWidth="1"/>
    <col min="6" max="6" width="22.83203125" customWidth="1"/>
  </cols>
  <sheetData>
    <row r="1" spans="1:6">
      <c r="A1" s="5" t="s">
        <v>984</v>
      </c>
      <c r="B1" s="5" t="s">
        <v>332</v>
      </c>
      <c r="C1" s="5" t="s">
        <v>333</v>
      </c>
      <c r="D1" s="5" t="s">
        <v>334</v>
      </c>
      <c r="E1" s="5" t="s">
        <v>335</v>
      </c>
      <c r="F1" s="5" t="s">
        <v>336</v>
      </c>
    </row>
    <row r="2" spans="1:6">
      <c r="A2" s="5" t="s">
        <v>337</v>
      </c>
      <c r="B2" s="6">
        <v>548</v>
      </c>
      <c r="C2" s="6">
        <v>510000</v>
      </c>
      <c r="D2" s="6">
        <v>28167</v>
      </c>
      <c r="E2" s="6">
        <v>12874</v>
      </c>
      <c r="F2" s="6">
        <v>48081</v>
      </c>
    </row>
    <row r="3" spans="1:6">
      <c r="A3" s="5" t="s">
        <v>338</v>
      </c>
      <c r="B3" s="6">
        <v>331</v>
      </c>
      <c r="C3" s="6">
        <v>690000</v>
      </c>
      <c r="D3" s="6">
        <v>40000</v>
      </c>
      <c r="E3" s="6">
        <v>20058</v>
      </c>
      <c r="F3" s="6">
        <v>99627</v>
      </c>
    </row>
    <row r="4" spans="1:6">
      <c r="A4" s="5" t="s">
        <v>339</v>
      </c>
      <c r="B4" s="6">
        <v>359.15</v>
      </c>
      <c r="C4" s="6">
        <v>255000</v>
      </c>
      <c r="D4" s="6">
        <v>72229</v>
      </c>
      <c r="E4" s="6">
        <v>10833</v>
      </c>
      <c r="F4" s="6">
        <v>271461</v>
      </c>
    </row>
    <row r="5" spans="1:6">
      <c r="A5" s="5" t="s">
        <v>340</v>
      </c>
      <c r="B5" s="6">
        <v>40.42</v>
      </c>
      <c r="C5" s="6">
        <v>42000</v>
      </c>
      <c r="D5" s="6">
        <v>33172</v>
      </c>
      <c r="E5" s="6">
        <v>5233</v>
      </c>
      <c r="F5" s="6">
        <v>80173</v>
      </c>
    </row>
    <row r="6" spans="1:6">
      <c r="A6" s="5" t="s">
        <v>806</v>
      </c>
      <c r="B6" s="6">
        <v>49.8</v>
      </c>
      <c r="C6" s="6">
        <v>29800</v>
      </c>
      <c r="D6" s="38">
        <v>24121</v>
      </c>
      <c r="E6" s="37">
        <v>2897</v>
      </c>
      <c r="F6" s="37">
        <v>36777</v>
      </c>
    </row>
    <row r="7" spans="1:6">
      <c r="A7" s="5" t="s">
        <v>341</v>
      </c>
      <c r="B7" s="6">
        <v>120</v>
      </c>
      <c r="C7" s="6">
        <v>31000</v>
      </c>
      <c r="D7" s="38">
        <v>9700</v>
      </c>
      <c r="E7" s="37">
        <v>1200</v>
      </c>
      <c r="F7" s="37">
        <v>52000</v>
      </c>
    </row>
    <row r="8" spans="1:6">
      <c r="A8" s="5"/>
      <c r="B8" s="6"/>
      <c r="C8" s="6">
        <f>SUM(Table28[Market Cap ($ mn)])</f>
        <v>1557800</v>
      </c>
      <c r="D8" s="6"/>
      <c r="E8" s="136">
        <f>SUBTOTAL(109,Table28[Net Profit ($ mn)])</f>
        <v>53095</v>
      </c>
      <c r="F8" s="6"/>
    </row>
  </sheetData>
  <pageMargins left="0.7" right="0.7" top="0.75" bottom="0.75" header="0.3" footer="0.3"/>
  <drawing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9883A-C850-4314-A48A-13AF1F48F570}">
  <dimension ref="A1:I19"/>
  <sheetViews>
    <sheetView zoomScale="74" zoomScaleNormal="80" workbookViewId="0"/>
  </sheetViews>
  <sheetFormatPr defaultRowHeight="14"/>
  <cols>
    <col min="1" max="1" width="33.58203125" customWidth="1"/>
    <col min="2" max="2" width="20.58203125" customWidth="1"/>
    <col min="3" max="3" width="19.83203125" customWidth="1"/>
    <col min="4" max="4" width="19.4140625" customWidth="1"/>
    <col min="5" max="5" width="18.4140625" customWidth="1"/>
    <col min="6" max="6" width="18.75" customWidth="1"/>
    <col min="7" max="7" width="20.1640625" customWidth="1"/>
    <col min="8" max="8" width="20.83203125" customWidth="1"/>
  </cols>
  <sheetData>
    <row r="1" spans="1:9" ht="14.5" thickBot="1">
      <c r="A1" s="181" t="s">
        <v>920</v>
      </c>
      <c r="B1" s="182"/>
      <c r="C1" s="182"/>
      <c r="D1" s="182"/>
      <c r="E1" s="182"/>
      <c r="F1" s="182"/>
      <c r="G1" s="182"/>
      <c r="H1" s="6"/>
      <c r="I1" s="6"/>
    </row>
    <row r="2" spans="1:9" ht="23.5" thickBot="1">
      <c r="A2" s="7" t="s">
        <v>342</v>
      </c>
      <c r="B2" s="225" t="s">
        <v>343</v>
      </c>
      <c r="C2" s="226"/>
      <c r="D2" s="226"/>
      <c r="E2" s="226"/>
      <c r="F2" s="226"/>
      <c r="G2" s="227"/>
      <c r="H2" s="6"/>
      <c r="I2" s="6"/>
    </row>
    <row r="3" spans="1:9" ht="15" thickTop="1" thickBot="1">
      <c r="A3" s="8"/>
      <c r="B3" s="9"/>
      <c r="C3" s="9"/>
      <c r="D3" s="9"/>
      <c r="E3" s="9"/>
      <c r="F3" s="9"/>
      <c r="G3" s="10"/>
      <c r="H3" s="6"/>
    </row>
    <row r="4" spans="1:9" ht="23.5" thickBot="1">
      <c r="A4" s="11" t="s">
        <v>344</v>
      </c>
      <c r="B4" s="12" t="s">
        <v>345</v>
      </c>
      <c r="C4" s="12" t="s">
        <v>346</v>
      </c>
      <c r="D4" s="12"/>
      <c r="E4" s="12"/>
      <c r="F4" s="12" t="s">
        <v>347</v>
      </c>
      <c r="G4" s="13" t="s">
        <v>348</v>
      </c>
      <c r="H4" s="6"/>
    </row>
    <row r="5" spans="1:9" ht="23.5" thickTop="1" thickBot="1">
      <c r="A5" s="14" t="s">
        <v>349</v>
      </c>
      <c r="B5" s="15">
        <v>0.245</v>
      </c>
      <c r="C5" s="15">
        <v>0.16500000000000001</v>
      </c>
      <c r="D5" s="15"/>
      <c r="E5" s="15"/>
      <c r="F5" s="15">
        <v>0.1</v>
      </c>
      <c r="G5" s="16">
        <v>7.4999999999999997E-2</v>
      </c>
      <c r="H5" s="6"/>
    </row>
    <row r="6" spans="1:9" ht="23" thickBot="1">
      <c r="A6" s="17" t="s">
        <v>350</v>
      </c>
      <c r="B6" s="18" t="s">
        <v>351</v>
      </c>
      <c r="C6" s="18" t="s">
        <v>352</v>
      </c>
      <c r="D6" s="18"/>
      <c r="E6" s="18"/>
      <c r="F6" s="18" t="s">
        <v>353</v>
      </c>
      <c r="G6" s="19" t="s">
        <v>354</v>
      </c>
      <c r="H6" s="6"/>
    </row>
    <row r="7" spans="1:9" ht="23" thickBot="1">
      <c r="A7" s="17" t="s">
        <v>355</v>
      </c>
      <c r="B7" s="18" t="s">
        <v>356</v>
      </c>
      <c r="C7" s="18" t="s">
        <v>357</v>
      </c>
      <c r="D7" s="18"/>
      <c r="E7" s="18"/>
      <c r="F7" s="18" t="s">
        <v>358</v>
      </c>
      <c r="G7" s="19" t="s">
        <v>359</v>
      </c>
      <c r="H7" s="6"/>
    </row>
    <row r="8" spans="1:9" ht="23" thickBot="1">
      <c r="A8" s="17" t="s">
        <v>360</v>
      </c>
      <c r="B8" s="20">
        <v>0.3</v>
      </c>
      <c r="C8" s="20">
        <v>0.24</v>
      </c>
      <c r="D8" s="20"/>
      <c r="E8" s="20"/>
      <c r="F8" s="20">
        <v>0.2</v>
      </c>
      <c r="G8" s="21">
        <v>0.17</v>
      </c>
      <c r="H8" s="6"/>
    </row>
    <row r="9" spans="1:9" ht="23" thickBot="1">
      <c r="A9" s="22" t="s">
        <v>361</v>
      </c>
      <c r="B9" s="23">
        <v>0.25</v>
      </c>
      <c r="C9" s="23">
        <v>0.3</v>
      </c>
      <c r="D9" s="23"/>
      <c r="E9" s="23"/>
      <c r="F9" s="23">
        <v>0.35</v>
      </c>
      <c r="G9" s="24">
        <v>0.4</v>
      </c>
      <c r="H9" s="6"/>
    </row>
    <row r="10" spans="1:9" ht="14.5" thickBot="1">
      <c r="A10" s="6"/>
      <c r="B10" s="6"/>
      <c r="C10" s="6"/>
      <c r="D10" s="6"/>
      <c r="E10" s="6"/>
      <c r="F10" s="6"/>
      <c r="G10" s="6"/>
      <c r="H10" s="6"/>
    </row>
    <row r="11" spans="1:9" ht="23.5" thickBot="1">
      <c r="A11" s="25" t="s">
        <v>362</v>
      </c>
      <c r="B11" s="26">
        <v>2020</v>
      </c>
      <c r="C11" s="26">
        <v>2021</v>
      </c>
      <c r="D11" s="26">
        <v>2022</v>
      </c>
      <c r="E11" s="26">
        <v>2023</v>
      </c>
      <c r="F11" s="26">
        <v>2024</v>
      </c>
      <c r="G11" s="26" t="s">
        <v>363</v>
      </c>
      <c r="H11" s="27" t="s">
        <v>364</v>
      </c>
    </row>
    <row r="12" spans="1:9" ht="23.5" thickTop="1" thickBot="1">
      <c r="A12" s="28" t="s">
        <v>365</v>
      </c>
      <c r="B12" s="29">
        <f>'Profit Loss'!B25</f>
        <v>8661</v>
      </c>
      <c r="C12" s="29">
        <f>'Profit Loss'!C25</f>
        <v>10808</v>
      </c>
      <c r="D12" s="29">
        <f>'Profit Loss'!D25</f>
        <v>13014</v>
      </c>
      <c r="E12" s="29">
        <f>'Profit Loss'!E25</f>
        <v>14807</v>
      </c>
      <c r="F12" s="29">
        <f>'Profit Loss'!F25</f>
        <v>16479</v>
      </c>
      <c r="G12" s="29">
        <f t="shared" ref="G12:G19" si="0">AVERAGE(B12:F12)</f>
        <v>12753.8</v>
      </c>
      <c r="H12" s="30"/>
    </row>
    <row r="13" spans="1:9" ht="23" thickBot="1">
      <c r="A13" s="31" t="s">
        <v>366</v>
      </c>
      <c r="B13" s="29">
        <f>'Common Size'!B88-'Common Size'!B55</f>
        <v>3019.1189922227304</v>
      </c>
      <c r="C13" s="29">
        <f>'Common Size'!C88-'Common Size'!C55</f>
        <v>766.36001906375759</v>
      </c>
      <c r="D13" s="29">
        <f>'Common Size'!D88-'Common Size'!D55</f>
        <v>2940.4465530422267</v>
      </c>
      <c r="E13" s="29">
        <f>'Common Size'!E88-'Common Size'!E55</f>
        <v>1966.9460514782058</v>
      </c>
      <c r="F13" s="29">
        <f>'Common Size'!F88-'Common Size'!F55</f>
        <v>4255.2570596797677</v>
      </c>
      <c r="G13" s="29">
        <f t="shared" si="0"/>
        <v>2589.6257350973378</v>
      </c>
      <c r="H13" s="30"/>
    </row>
    <row r="14" spans="1:9" ht="23" thickBot="1">
      <c r="A14" s="31" t="s">
        <v>349</v>
      </c>
      <c r="B14" s="32">
        <f>'Common Size'!B9</f>
        <v>0.52813541598588332</v>
      </c>
      <c r="C14" s="32">
        <f>'Common Size'!C9</f>
        <v>0.53389112476170308</v>
      </c>
      <c r="D14" s="32">
        <f>'Common Size'!D9</f>
        <v>0.55151324369294419</v>
      </c>
      <c r="E14" s="32">
        <f>'Common Size'!E9</f>
        <v>0.55813212208144081</v>
      </c>
      <c r="F14" s="32">
        <f>'Common Size'!F9</f>
        <v>0.55320055383959954</v>
      </c>
      <c r="G14" s="32">
        <f t="shared" si="0"/>
        <v>0.54497449207231408</v>
      </c>
      <c r="H14" s="30" t="s">
        <v>523</v>
      </c>
    </row>
    <row r="15" spans="1:9" ht="23" thickBot="1">
      <c r="A15" s="31" t="s">
        <v>367</v>
      </c>
      <c r="B15" s="29">
        <f>'Common Size'!B43/'Common Size'!B73</f>
        <v>1.4631104953238656</v>
      </c>
      <c r="C15" s="29">
        <f>'Common Size'!C43/'Common Size'!C73</f>
        <v>1.2861769059955588</v>
      </c>
      <c r="D15" s="29">
        <f>'Common Size'!D43/'Common Size'!D73</f>
        <v>1.0775318887352083</v>
      </c>
      <c r="E15" s="29">
        <f>'Common Size'!E43/'Common Size'!E73</f>
        <v>1.0590261362868914</v>
      </c>
      <c r="F15" s="29">
        <f>'Common Size'!F43/'Common Size'!F73</f>
        <v>1.1696829675266334</v>
      </c>
      <c r="G15" s="29">
        <f t="shared" si="0"/>
        <v>1.2111056787736316</v>
      </c>
      <c r="H15" s="30" t="s">
        <v>523</v>
      </c>
    </row>
    <row r="16" spans="1:9" ht="23" thickBot="1">
      <c r="A16" s="31" t="s">
        <v>355</v>
      </c>
      <c r="B16" s="29">
        <f>Table10[[#This Row],[2020]]/-'Common Size'!B11</f>
        <v>22.792105263157897</v>
      </c>
      <c r="C16" s="29">
        <f>Table10[[#This Row],[2020]]/-'Common Size'!C11</f>
        <v>24.800757453184971</v>
      </c>
      <c r="D16" s="29">
        <f>Table10[[#This Row],[2020]]/-'Common Size'!D11</f>
        <v>26.724126103077232</v>
      </c>
      <c r="E16" s="29">
        <f>Table10[[#This Row],[2020]]/-'Common Size'!E11</f>
        <v>24.706970331578216</v>
      </c>
      <c r="F16" s="29">
        <f>Table10[[#This Row],[2020]]/-'Common Size'!F11</f>
        <v>24.680633289918323</v>
      </c>
      <c r="G16" s="29">
        <f t="shared" si="0"/>
        <v>24.740918488183326</v>
      </c>
      <c r="H16" s="30" t="s">
        <v>524</v>
      </c>
    </row>
    <row r="17" spans="1:8" ht="23" thickBot="1">
      <c r="A17" s="31" t="s">
        <v>368</v>
      </c>
      <c r="B17" s="33">
        <f>'Common Size'!B86/'Common Size'!B43</f>
        <v>0.74592566084491818</v>
      </c>
      <c r="C17" s="33">
        <f>'Common Size'!C86/'Common Size'!C43</f>
        <v>0.8691644815089633</v>
      </c>
      <c r="D17" s="33">
        <f>'Common Size'!D86/'Common Size'!D43</f>
        <v>1.0598366003306778</v>
      </c>
      <c r="E17" s="33">
        <f>'Common Size'!E86/'Common Size'!E43</f>
        <v>1.0816085528525812</v>
      </c>
      <c r="F17" s="33">
        <f>'Common Size'!F86/'Common Size'!F43</f>
        <v>1.175508828872966</v>
      </c>
      <c r="G17" s="33">
        <f t="shared" si="0"/>
        <v>0.98640882488202131</v>
      </c>
      <c r="H17" s="30" t="s">
        <v>523</v>
      </c>
    </row>
    <row r="18" spans="1:8" ht="23" thickBot="1">
      <c r="A18" s="31" t="s">
        <v>369</v>
      </c>
      <c r="B18" s="32">
        <f>'Common Size'!B43/('Common Size'!B43+Balance_Sheet!F41)</f>
        <v>0.66044717777661954</v>
      </c>
      <c r="C18" s="32">
        <f>'Common Size'!C43/('Common Size'!C43+Balance_Sheet!G41)</f>
        <v>0.48240045624126837</v>
      </c>
      <c r="D18" s="32">
        <f>'Common Size'!D43/('Common Size'!D43+Balance_Sheet!H41)</f>
        <v>0.36394650149655411</v>
      </c>
      <c r="E18" s="32">
        <f>'Common Size'!E43/('Common Size'!E43+Balance_Sheet!I41)</f>
        <v>0.30813478870180611</v>
      </c>
      <c r="F18" s="32">
        <f>'Common Size'!F43/('Common Size'!F43+Balance_Sheet!J41)</f>
        <v>0.27940695043898039</v>
      </c>
      <c r="G18" s="32">
        <f t="shared" si="0"/>
        <v>0.41886717493104564</v>
      </c>
      <c r="H18" s="30" t="s">
        <v>919</v>
      </c>
    </row>
    <row r="19" spans="1:8" ht="23" thickBot="1">
      <c r="A19" s="34" t="s">
        <v>350</v>
      </c>
      <c r="B19" s="35">
        <f>'Common Size'!B43/'Profit Loss'!F25</f>
        <v>0.76897870016384484</v>
      </c>
      <c r="C19" s="35">
        <f>'Common Size'!C43/'Profit Loss'!G25</f>
        <v>0.76527493813761494</v>
      </c>
      <c r="D19" s="35">
        <f>'Common Size'!D43/'Profit Loss'!H25</f>
        <v>0.69059328987233692</v>
      </c>
      <c r="E19" s="35">
        <f>'Common Size'!E43/'Profit Loss'!I25</f>
        <v>0.70286181373075252</v>
      </c>
      <c r="F19" s="35">
        <f>'Common Size'!F43/'Profit Loss'!J25</f>
        <v>0.75011938194367422</v>
      </c>
      <c r="G19" s="35">
        <f t="shared" si="0"/>
        <v>0.73556562476964471</v>
      </c>
      <c r="H19" s="36" t="s">
        <v>523</v>
      </c>
    </row>
  </sheetData>
  <mergeCells count="1">
    <mergeCell ref="B2:G2"/>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46F73-ADE8-4979-B15E-7D923C5489D0}">
  <dimension ref="A1:M95"/>
  <sheetViews>
    <sheetView zoomScale="56" zoomScaleNormal="80" workbookViewId="0"/>
  </sheetViews>
  <sheetFormatPr defaultRowHeight="14"/>
  <cols>
    <col min="1" max="1" width="48.1640625" customWidth="1"/>
    <col min="2" max="2" width="70.1640625" customWidth="1"/>
    <col min="3" max="3" width="15.75" customWidth="1"/>
    <col min="4" max="4" width="13.25" customWidth="1"/>
    <col min="5" max="5" width="14" customWidth="1"/>
    <col min="6" max="6" width="15.1640625" customWidth="1"/>
    <col min="7" max="7" width="15.25" customWidth="1"/>
    <col min="8" max="8" width="12.1640625" customWidth="1"/>
    <col min="9" max="9" width="15.4140625" customWidth="1"/>
    <col min="10" max="11" width="15.25" customWidth="1"/>
    <col min="12" max="12" width="17.1640625" customWidth="1"/>
    <col min="13" max="13" width="17" customWidth="1"/>
    <col min="14" max="14" width="12.25" customWidth="1"/>
  </cols>
  <sheetData>
    <row r="1" spans="1:13">
      <c r="A1" s="193" t="s">
        <v>551</v>
      </c>
      <c r="B1" s="6"/>
      <c r="C1" s="6"/>
      <c r="D1" s="6"/>
      <c r="E1" s="6"/>
      <c r="F1" s="6"/>
      <c r="G1" s="6"/>
      <c r="H1" s="6"/>
      <c r="I1" s="6"/>
      <c r="J1" s="6"/>
      <c r="K1" s="6"/>
      <c r="L1" s="6"/>
      <c r="M1" s="6"/>
    </row>
    <row r="2" spans="1:13">
      <c r="A2" s="5" t="s">
        <v>464</v>
      </c>
      <c r="B2" s="5" t="s">
        <v>465</v>
      </c>
      <c r="C2" s="5" t="s">
        <v>561</v>
      </c>
      <c r="D2" s="6" t="s">
        <v>562</v>
      </c>
      <c r="E2" s="6" t="s">
        <v>563</v>
      </c>
      <c r="F2" s="6" t="s">
        <v>564</v>
      </c>
      <c r="G2" s="6" t="s">
        <v>565</v>
      </c>
      <c r="H2" s="6" t="s">
        <v>566</v>
      </c>
      <c r="I2" s="5" t="s">
        <v>567</v>
      </c>
      <c r="J2" s="6" t="s">
        <v>568</v>
      </c>
      <c r="K2" s="6" t="s">
        <v>569</v>
      </c>
      <c r="L2" s="6" t="s">
        <v>570</v>
      </c>
      <c r="M2" s="6" t="s">
        <v>571</v>
      </c>
    </row>
    <row r="3" spans="1:13">
      <c r="A3" s="5" t="s">
        <v>370</v>
      </c>
      <c r="B3" s="5" t="s">
        <v>377</v>
      </c>
      <c r="C3" s="5" t="s">
        <v>260</v>
      </c>
      <c r="D3" s="6"/>
      <c r="E3" s="6"/>
      <c r="F3" s="6"/>
      <c r="G3" s="6"/>
      <c r="H3" s="6"/>
      <c r="I3" s="5" t="s">
        <v>259</v>
      </c>
      <c r="J3" s="6"/>
      <c r="K3" s="6"/>
      <c r="L3" s="6"/>
      <c r="M3" s="6"/>
    </row>
    <row r="4" spans="1:13">
      <c r="A4" s="5" t="s">
        <v>371</v>
      </c>
      <c r="B4" s="6"/>
      <c r="C4" s="5">
        <v>2020</v>
      </c>
      <c r="D4" s="5">
        <v>2021</v>
      </c>
      <c r="E4" s="5">
        <v>2022</v>
      </c>
      <c r="F4" s="5">
        <v>2023</v>
      </c>
      <c r="G4" s="5">
        <v>2024</v>
      </c>
      <c r="H4" s="5"/>
      <c r="I4" s="5">
        <f>C4</f>
        <v>2020</v>
      </c>
      <c r="J4" s="5">
        <v>2021</v>
      </c>
      <c r="K4" s="5">
        <v>2022</v>
      </c>
      <c r="L4" s="5">
        <v>2023</v>
      </c>
      <c r="M4" s="5">
        <v>2024</v>
      </c>
    </row>
    <row r="5" spans="1:13">
      <c r="A5" s="6" t="s">
        <v>378</v>
      </c>
      <c r="B5" s="6" t="s">
        <v>403</v>
      </c>
      <c r="C5" s="40">
        <f>'Profit Loss'!B20/'Profit Loss'!B24</f>
        <v>6.3727634194831015</v>
      </c>
      <c r="D5" s="40">
        <f>'Profit Loss'!C20/'Profit Loss'!C24</f>
        <v>8.7570564516129039</v>
      </c>
      <c r="E5" s="40">
        <f>'Profit Loss'!D20/'Profit Loss'!D24</f>
        <v>10.226570545829043</v>
      </c>
      <c r="F5" s="40">
        <f>'Profit Loss'!E20/'Profit Loss'!E24</f>
        <v>11.834038054968287</v>
      </c>
      <c r="G5" s="40">
        <f>'Profit Loss'!F20/'Profit Loss'!F24</f>
        <v>13.887810140237324</v>
      </c>
      <c r="H5" s="6"/>
      <c r="I5" s="157" t="s">
        <v>553</v>
      </c>
      <c r="J5" s="157" t="s">
        <v>553</v>
      </c>
      <c r="K5" s="157" t="s">
        <v>553</v>
      </c>
      <c r="L5" s="157" t="s">
        <v>553</v>
      </c>
      <c r="M5" s="157" t="s">
        <v>553</v>
      </c>
    </row>
    <row r="6" spans="1:13">
      <c r="A6" s="6" t="s">
        <v>404</v>
      </c>
      <c r="B6" s="6" t="s">
        <v>405</v>
      </c>
      <c r="C6" s="40">
        <f>-'Cash Flow'!B41/'Profit Loss'!B24</f>
        <v>1.5954274353876741</v>
      </c>
      <c r="D6" s="40">
        <f>-'Cash Flow'!C41/'Profit Loss'!C24</f>
        <v>1.7550403225806452</v>
      </c>
      <c r="E6" s="40">
        <f>-'Cash Flow'!D41/'Profit Loss'!D24</f>
        <v>1.9598352214212151</v>
      </c>
      <c r="F6" s="40">
        <f>-'Cash Flow'!E41/'Profit Loss'!E24</f>
        <v>2.2811839323467229</v>
      </c>
      <c r="G6" s="40">
        <f>-'Cash Flow'!F41/'Profit Loss'!F24</f>
        <v>2.6407766990291264</v>
      </c>
      <c r="H6" s="6"/>
      <c r="I6" s="157" t="s">
        <v>553</v>
      </c>
      <c r="J6" s="157" t="s">
        <v>553</v>
      </c>
      <c r="K6" s="157" t="s">
        <v>553</v>
      </c>
      <c r="L6" s="157" t="s">
        <v>553</v>
      </c>
      <c r="M6" s="157" t="s">
        <v>553</v>
      </c>
    </row>
    <row r="7" spans="1:13">
      <c r="A7" s="6" t="s">
        <v>406</v>
      </c>
      <c r="B7" s="6" t="s">
        <v>407</v>
      </c>
      <c r="C7" s="40">
        <f>Balance_Sheet!B41/'Profit Loss'!B24</f>
        <v>6.4493041749502984</v>
      </c>
      <c r="D7" s="40">
        <f>Balance_Sheet!C41/'Profit Loss'!C24</f>
        <v>7.442540322580645</v>
      </c>
      <c r="E7" s="40">
        <f>Balance_Sheet!D41/'Profit Loss'!D24</f>
        <v>6.5458290422245105</v>
      </c>
      <c r="F7" s="40">
        <f>Balance_Sheet!E41/'Profit Loss'!E24</f>
        <v>7.3731501057082456</v>
      </c>
      <c r="G7" s="40">
        <f>Balance_Sheet!F41/'Profit Loss'!F24</f>
        <v>7.028047464940669</v>
      </c>
      <c r="H7" s="6"/>
      <c r="I7" s="157" t="s">
        <v>553</v>
      </c>
      <c r="J7" s="157" t="s">
        <v>553</v>
      </c>
      <c r="K7" s="157" t="s">
        <v>553</v>
      </c>
      <c r="L7" s="157" t="s">
        <v>553</v>
      </c>
      <c r="M7" s="157" t="s">
        <v>553</v>
      </c>
    </row>
    <row r="8" spans="1:13">
      <c r="A8" s="6" t="s">
        <v>408</v>
      </c>
      <c r="B8" s="6" t="s">
        <v>409</v>
      </c>
      <c r="C8" s="40">
        <f>'Profit Loss'!B19/'Profit Loss'!B18</f>
        <v>0.173840206185567</v>
      </c>
      <c r="D8" s="40">
        <f>'Profit Loss'!C19/'Profit Loss'!C18</f>
        <v>0.15717473561657128</v>
      </c>
      <c r="E8" s="40">
        <f>'Profit Loss'!D19/'Profit Loss'!D18</f>
        <v>0.15359699965905216</v>
      </c>
      <c r="F8" s="40">
        <f>'Profit Loss'!E19/'Profit Loss'!E18</f>
        <v>0.17919202287557739</v>
      </c>
      <c r="G8" s="40">
        <f>'Profit Loss'!F19/'Profit Loss'!F18</f>
        <v>0.15602464927232201</v>
      </c>
      <c r="H8" s="6"/>
      <c r="I8" s="40">
        <f>'Ind_P&amp;L'!B18/'Ind_P&amp;L'!B17</f>
        <v>0.19906114588348581</v>
      </c>
      <c r="J8" s="40">
        <f>'Ind_P&amp;L'!C18/'Ind_P&amp;L'!C17</f>
        <v>0.16790046763645147</v>
      </c>
      <c r="K8" s="40">
        <f>'Ind_P&amp;L'!D18/'Ind_P&amp;L'!D17</f>
        <v>0.1487916623973535</v>
      </c>
      <c r="L8" s="40">
        <f>'Ind_P&amp;L'!E18/'Ind_P&amp;L'!E17</f>
        <v>0.16732873829317058</v>
      </c>
      <c r="M8" s="40">
        <f>'Ind_P&amp;L'!F18/'Ind_P&amp;L'!F17</f>
        <v>0.1475343754198952</v>
      </c>
    </row>
    <row r="9" spans="1:13">
      <c r="A9" s="6" t="s">
        <v>410</v>
      </c>
      <c r="B9" s="6" t="s">
        <v>411</v>
      </c>
      <c r="C9" s="40">
        <f>'DDM FCFF Relative Valuation'!C3/'Profit Loss'!B23</f>
        <v>0.30103025494730562</v>
      </c>
      <c r="D9" s="40">
        <f>'DDM FCFF Relative Valuation'!D3/'Profit Loss'!C23</f>
        <v>0.23744837782251246</v>
      </c>
      <c r="E9" s="40">
        <f>'DDM FCFF Relative Valuation'!E3/'Profit Loss'!D23</f>
        <v>0.22246537933678895</v>
      </c>
      <c r="F9" s="40">
        <f>'DDM FCFF Relative Valuation'!F3/'Profit Loss'!E23</f>
        <v>0.21794215342602438</v>
      </c>
      <c r="G9" s="40">
        <f>'DDM FCFF Relative Valuation'!G3/'Profit Loss'!F23</f>
        <v>0.21056380005728573</v>
      </c>
      <c r="H9" s="6"/>
      <c r="I9" s="157" t="s">
        <v>553</v>
      </c>
      <c r="J9" s="157" t="s">
        <v>553</v>
      </c>
      <c r="K9" s="157" t="s">
        <v>553</v>
      </c>
      <c r="L9" s="157" t="s">
        <v>553</v>
      </c>
      <c r="M9" s="157" t="s">
        <v>553</v>
      </c>
    </row>
    <row r="10" spans="1:13">
      <c r="A10" s="6" t="s">
        <v>372</v>
      </c>
      <c r="B10" s="6" t="s">
        <v>560</v>
      </c>
      <c r="C10" s="40">
        <f>1-C9</f>
        <v>0.69896974505269438</v>
      </c>
      <c r="D10" s="40">
        <f>1-D9</f>
        <v>0.76255162217748751</v>
      </c>
      <c r="E10" s="40">
        <f>1-E9</f>
        <v>0.777534620663211</v>
      </c>
      <c r="F10" s="40">
        <f>1-F9</f>
        <v>0.78205784657397559</v>
      </c>
      <c r="G10" s="40">
        <f>1-G9</f>
        <v>0.7894361999427143</v>
      </c>
      <c r="H10" s="6"/>
      <c r="I10" s="157" t="s">
        <v>553</v>
      </c>
      <c r="J10" s="157" t="s">
        <v>553</v>
      </c>
      <c r="K10" s="157" t="s">
        <v>553</v>
      </c>
      <c r="L10" s="157" t="s">
        <v>553</v>
      </c>
      <c r="M10" s="157" t="s">
        <v>553</v>
      </c>
    </row>
    <row r="11" spans="1:13">
      <c r="A11" s="5" t="s">
        <v>412</v>
      </c>
      <c r="B11" s="6"/>
      <c r="C11" s="40"/>
      <c r="D11" s="40"/>
      <c r="E11" s="40"/>
      <c r="F11" s="40"/>
      <c r="G11" s="40"/>
      <c r="H11" s="6"/>
      <c r="I11" s="40"/>
      <c r="J11" s="40"/>
      <c r="K11" s="40"/>
      <c r="L11" s="40"/>
      <c r="M11" s="40"/>
    </row>
    <row r="12" spans="1:13">
      <c r="A12" s="6" t="s">
        <v>373</v>
      </c>
      <c r="B12" s="6" t="s">
        <v>413</v>
      </c>
      <c r="C12" s="157" t="s">
        <v>553</v>
      </c>
      <c r="D12" s="157" t="s">
        <v>553</v>
      </c>
      <c r="E12" s="157" t="s">
        <v>553</v>
      </c>
      <c r="F12" s="157" t="s">
        <v>553</v>
      </c>
      <c r="G12" s="157" t="s">
        <v>553</v>
      </c>
      <c r="H12" s="6"/>
      <c r="I12" s="157" t="s">
        <v>553</v>
      </c>
      <c r="J12" s="157" t="s">
        <v>553</v>
      </c>
      <c r="K12" s="157" t="s">
        <v>553</v>
      </c>
      <c r="L12" s="157" t="s">
        <v>553</v>
      </c>
      <c r="M12" s="157" t="s">
        <v>553</v>
      </c>
    </row>
    <row r="13" spans="1:13">
      <c r="A13" s="6" t="s">
        <v>379</v>
      </c>
      <c r="B13" s="6" t="s">
        <v>414</v>
      </c>
      <c r="C13" s="40">
        <f>'Profit Loss'!B20/Balance_Sheet!B41</f>
        <v>0.98813193588162762</v>
      </c>
      <c r="D13" s="40">
        <f>'Profit Loss'!C20/Balance_Sheet!C41</f>
        <v>1.1766219693891371</v>
      </c>
      <c r="E13" s="40">
        <f>'Profit Loss'!D20/Balance_Sheet!D41</f>
        <v>1.5623033354310887</v>
      </c>
      <c r="F13" s="40">
        <f>'Profit Loss'!E20/Balance_Sheet!E41</f>
        <v>1.6050179211469533</v>
      </c>
      <c r="G13" s="40">
        <f>'Profit Loss'!F20/Balance_Sheet!F41</f>
        <v>1.9760552570990022</v>
      </c>
      <c r="H13" s="6"/>
      <c r="I13" s="40">
        <f>'Ind_P&amp;L'!B19/Ind_bala!B34</f>
        <v>0.23981000295518923</v>
      </c>
      <c r="J13" s="40">
        <f>'Ind_P&amp;L'!C19/Ind_bala!C34</f>
        <v>0.30908321742418898</v>
      </c>
      <c r="K13" s="40">
        <f>'Ind_P&amp;L'!D19/Ind_bala!D34</f>
        <v>0.36296453493452507</v>
      </c>
      <c r="L13" s="40">
        <f>'Ind_P&amp;L'!E19/Ind_bala!E34</f>
        <v>0.36069468897967555</v>
      </c>
      <c r="M13" s="40">
        <f>'Ind_P&amp;L'!F19/Ind_bala!F34</f>
        <v>0.4085737592306371</v>
      </c>
    </row>
    <row r="14" spans="1:13">
      <c r="A14" s="6" t="s">
        <v>415</v>
      </c>
      <c r="B14" s="6" t="s">
        <v>416</v>
      </c>
      <c r="C14" s="40">
        <f>'Profit Loss'!B25/'Profit Loss'!B4</f>
        <v>0.56604143520031369</v>
      </c>
      <c r="D14" s="40">
        <f>'Profit Loss'!C25/'Profit Loss'!C4</f>
        <v>0.57233636941325994</v>
      </c>
      <c r="E14" s="40">
        <f>'Profit Loss'!D25/'Profit Loss'!D4</f>
        <v>0.5852408148581193</v>
      </c>
      <c r="F14" s="40">
        <f>'Profit Loss'!E25/'Profit Loss'!E4</f>
        <v>0.58996732807395014</v>
      </c>
      <c r="G14" s="40">
        <f>'Profit Loss'!F25/'Profit Loss'!F4</f>
        <v>0.58504633081265311</v>
      </c>
      <c r="H14" s="6"/>
      <c r="I14" s="40">
        <f>'Ind_P&amp;L'!B10/'Ind_P&amp;L'!B3</f>
        <v>0.32045952686871743</v>
      </c>
      <c r="J14" s="40">
        <f>'Ind_P&amp;L'!C10/'Ind_P&amp;L'!C3</f>
        <v>0.36421756663715943</v>
      </c>
      <c r="K14" s="40">
        <f>'Ind_P&amp;L'!D10/'Ind_P&amp;L'!D3</f>
        <v>0.39368807899715919</v>
      </c>
      <c r="L14" s="40">
        <f>'Ind_P&amp;L'!E10/'Ind_P&amp;L'!E3</f>
        <v>0.40252728726628195</v>
      </c>
      <c r="M14" s="40">
        <f>'Ind_P&amp;L'!F10/'Ind_P&amp;L'!F3</f>
        <v>0.41526132592212839</v>
      </c>
    </row>
    <row r="15" spans="1:13">
      <c r="A15" s="6" t="s">
        <v>417</v>
      </c>
      <c r="B15" s="6" t="s">
        <v>418</v>
      </c>
      <c r="C15" s="40">
        <f>'Profit Loss'!B11/'Profit Loss'!B4</f>
        <v>0.52813541598588332</v>
      </c>
      <c r="D15" s="40">
        <f>'Profit Loss'!C11/'Profit Loss'!C4</f>
        <v>0.53389112476170308</v>
      </c>
      <c r="E15" s="40">
        <f>'Profit Loss'!D11/'Profit Loss'!D4</f>
        <v>0.55151324369294419</v>
      </c>
      <c r="F15" s="40">
        <f>'Profit Loss'!E11/'Profit Loss'!E4</f>
        <v>0.55813212208144081</v>
      </c>
      <c r="G15" s="40">
        <f>'Profit Loss'!F11/'Profit Loss'!F4</f>
        <v>0.55320055383959954</v>
      </c>
      <c r="H15" s="6"/>
      <c r="I15" s="40">
        <f>'Ind_P&amp;L'!B17/'Ind_P&amp;L'!B3</f>
        <v>0.31395964023883305</v>
      </c>
      <c r="J15" s="40">
        <f>'Ind_P&amp;L'!C17/'Ind_P&amp;L'!C3</f>
        <v>0.35624446739451165</v>
      </c>
      <c r="K15" s="40">
        <f>'Ind_P&amp;L'!D17/'Ind_P&amp;L'!D3</f>
        <v>0.37250475738689959</v>
      </c>
      <c r="L15" s="40">
        <f>'Ind_P&amp;L'!E17/'Ind_P&amp;L'!E3</f>
        <v>0.38721178382067567</v>
      </c>
      <c r="M15" s="40">
        <f>'Ind_P&amp;L'!F17/'Ind_P&amp;L'!F3</f>
        <v>0.40162614788232015</v>
      </c>
    </row>
    <row r="16" spans="1:13">
      <c r="A16" s="6" t="s">
        <v>419</v>
      </c>
      <c r="B16" s="6" t="s">
        <v>420</v>
      </c>
      <c r="C16" s="40">
        <f>'Profit Loss'!B20/'Profit Loss'!B4</f>
        <v>0.41899222273054049</v>
      </c>
      <c r="D16" s="40">
        <f>'Profit Loss'!C20/'Profit Loss'!C4</f>
        <v>0.46001906375767848</v>
      </c>
      <c r="E16" s="40">
        <f>'Profit Loss'!D20/'Profit Loss'!D4</f>
        <v>0.44655304222691911</v>
      </c>
      <c r="F16" s="40">
        <f>'Profit Loss'!E20/'Profit Loss'!E4</f>
        <v>0.44605147820543467</v>
      </c>
      <c r="G16" s="40">
        <f>'Profit Loss'!F20/'Profit Loss'!F4</f>
        <v>0.45705967976710332</v>
      </c>
      <c r="H16" s="6"/>
      <c r="I16" s="40">
        <f>'Ind_P&amp;L'!B19/'Ind_P&amp;L'!B3</f>
        <v>0.25146247449172399</v>
      </c>
      <c r="J16" s="40">
        <f>'Ind_P&amp;L'!C19/'Ind_P&amp;L'!C3</f>
        <v>0.29643085472607456</v>
      </c>
      <c r="K16" s="40">
        <f>'Ind_P&amp;L'!D19/'Ind_P&amp;L'!D3</f>
        <v>0.31707915528437997</v>
      </c>
      <c r="L16" s="40">
        <f>'Ind_P&amp;L'!E19/'Ind_P&amp;L'!E3</f>
        <v>0.3224201245817141</v>
      </c>
      <c r="M16" s="40">
        <f>'Ind_P&amp;L'!F19/'Ind_P&amp;L'!F3</f>
        <v>0.34237248500220357</v>
      </c>
    </row>
    <row r="17" spans="1:13">
      <c r="A17" s="6" t="s">
        <v>380</v>
      </c>
      <c r="B17" s="6" t="s">
        <v>421</v>
      </c>
      <c r="C17" s="40">
        <f>'Profit Loss'!B20/Balance_Sheet!B18</f>
        <v>0.19089447355883754</v>
      </c>
      <c r="D17" s="40">
        <f>'Profit Loss'!C20/Balance_Sheet!C18</f>
        <v>0.23061403275903264</v>
      </c>
      <c r="E17" s="40">
        <f>'Profit Loss'!D20/Balance_Sheet!D18</f>
        <v>0.25643012085528355</v>
      </c>
      <c r="F17" s="40">
        <f>'Profit Loss'!E20/Balance_Sheet!E18</f>
        <v>0.26373445156426689</v>
      </c>
      <c r="G17" s="40">
        <f>'Profit Loss'!F20/Balance_Sheet!F18</f>
        <v>0.26775649424928766</v>
      </c>
      <c r="H17" s="6"/>
      <c r="I17" s="40">
        <f>'Ind_P&amp;L'!B19/Ind_bala!B16</f>
        <v>9.0413028650312921E-2</v>
      </c>
      <c r="J17" s="40">
        <f>'Ind_P&amp;L'!C19/Ind_bala!C16</f>
        <v>0.12887526458703041</v>
      </c>
      <c r="K17" s="40">
        <f>'Ind_P&amp;L'!D19/Ind_bala!D16</f>
        <v>0.15926644098991027</v>
      </c>
      <c r="L17" s="40">
        <f>'Ind_P&amp;L'!E19/Ind_bala!E16</f>
        <v>0.156502713326823</v>
      </c>
      <c r="M17" s="40">
        <f>'Ind_P&amp;L'!F19/Ind_bala!F16</f>
        <v>0.17807197071584782</v>
      </c>
    </row>
    <row r="18" spans="1:13">
      <c r="A18" s="5" t="s">
        <v>422</v>
      </c>
      <c r="B18" s="6"/>
      <c r="C18" s="40"/>
      <c r="D18" s="40"/>
      <c r="E18" s="40"/>
      <c r="F18" s="40"/>
      <c r="G18" s="40"/>
      <c r="H18" s="6"/>
      <c r="I18" s="40"/>
      <c r="J18" s="40"/>
      <c r="K18" s="40"/>
      <c r="L18" s="40"/>
      <c r="M18" s="40"/>
    </row>
    <row r="19" spans="1:13">
      <c r="A19" s="6" t="s">
        <v>423</v>
      </c>
      <c r="B19" s="6" t="s">
        <v>424</v>
      </c>
      <c r="C19" s="40"/>
      <c r="D19" s="40">
        <f>('Profit Loss'!C4-'Profit Loss'!B4)/'Profit Loss'!B4</f>
        <v>0.23416770145742108</v>
      </c>
      <c r="E19" s="40">
        <f>('Profit Loss'!D4-'Profit Loss'!C4)/'Profit Loss'!C4</f>
        <v>0.17755772082185978</v>
      </c>
      <c r="F19" s="40">
        <f>('Profit Loss'!E4-'Profit Loss'!D4)/'Profit Loss'!D4</f>
        <v>0.1286594414714215</v>
      </c>
      <c r="G19" s="40">
        <f>('Profit Loss'!F4-'Profit Loss'!E4)/'Profit Loss'!E4</f>
        <v>0.12228065981353096</v>
      </c>
      <c r="H19" s="6"/>
      <c r="I19" s="40"/>
      <c r="J19" s="40">
        <f>('Ind_P&amp;L'!C3-'Ind_P&amp;L'!B3)/'Ind_P&amp;L'!B3</f>
        <v>0.22947623006575465</v>
      </c>
      <c r="K19" s="40">
        <f>('Ind_P&amp;L'!D3-'Ind_P&amp;L'!C3)/'Ind_P&amp;L'!C3</f>
        <v>0.12741590439657716</v>
      </c>
      <c r="L19" s="40">
        <f>('Ind_P&amp;L'!E3-'Ind_P&amp;L'!D3)/'Ind_P&amp;L'!D3</f>
        <v>7.0545640924977782E-2</v>
      </c>
      <c r="M19" s="40">
        <f>('Ind_P&amp;L'!F3-'Ind_P&amp;L'!E3)/'Ind_P&amp;L'!E3</f>
        <v>0.13257307588483067</v>
      </c>
    </row>
    <row r="20" spans="1:13">
      <c r="A20" s="6" t="s">
        <v>425</v>
      </c>
      <c r="B20" s="6" t="s">
        <v>426</v>
      </c>
      <c r="C20" s="40"/>
      <c r="D20" s="40">
        <f>('Profit Loss'!C11-'Profit Loss'!B11)/'Profit Loss'!B11</f>
        <v>0.24761786907560945</v>
      </c>
      <c r="E20" s="40">
        <f>('Profit Loss'!D11-'Profit Loss'!C11)/'Profit Loss'!C11</f>
        <v>0.21642531243800833</v>
      </c>
      <c r="F20" s="40">
        <f>('Profit Loss'!E11-'Profit Loss'!D11)/'Profit Loss'!D11</f>
        <v>0.14220482713633398</v>
      </c>
      <c r="G20" s="40">
        <f>('Profit Loss'!F11-'Profit Loss'!E11)/'Profit Loss'!E11</f>
        <v>0.11236436322101656</v>
      </c>
      <c r="H20" s="6"/>
      <c r="I20" s="40"/>
      <c r="J20" s="40">
        <f>('Ind_P&amp;L'!C10-'Ind_P&amp;L'!B10)/'Ind_P&amp;L'!B10</f>
        <v>0.39735849056603773</v>
      </c>
      <c r="K20" s="40">
        <f>('Ind_P&amp;L'!D10-'Ind_P&amp;L'!C10)/'Ind_P&amp;L'!C10</f>
        <v>0.21864029165541454</v>
      </c>
      <c r="L20" s="40">
        <f>('Ind_P&amp;L'!E10-'Ind_P&amp;L'!D10)/'Ind_P&amp;L'!D10</f>
        <v>9.4581867538295339E-2</v>
      </c>
      <c r="M20" s="40">
        <f>('Ind_P&amp;L'!F10-'Ind_P&amp;L'!E10)/'Ind_P&amp;L'!E10</f>
        <v>0.16840227252597081</v>
      </c>
    </row>
    <row r="21" spans="1:13">
      <c r="A21" s="6" t="s">
        <v>427</v>
      </c>
      <c r="B21" s="6" t="s">
        <v>428</v>
      </c>
      <c r="C21" s="40"/>
      <c r="D21" s="40">
        <f>(Table1[[#This Row],[2021]]-Table1[[#This Row],[2020]])/Table1[[#This Row],[2020]]</f>
        <v>0.37343749999999981</v>
      </c>
      <c r="E21" s="40">
        <f>(Table1[[#This Row],[2022]]-Table1[[#This Row],[2021]])/Table1[[#This Row],[2021]]</f>
        <v>0.16723549488054618</v>
      </c>
      <c r="F21" s="40">
        <f>(Table1[[#This Row],[2023]]-Table1[[#This Row],[2022]])/Table1[[#This Row],[2022]]</f>
        <v>0.1559454191033138</v>
      </c>
      <c r="G21" s="40">
        <f>(Table1[[#This Row],[2024]]-Table1[[#This Row],[2023]])/Table1[[#This Row],[2023]]</f>
        <v>0.17284991568296804</v>
      </c>
      <c r="H21" s="6"/>
      <c r="I21" s="40"/>
      <c r="J21" s="40">
        <f>('Ind_P&amp;L'!C19-'Ind_P&amp;L'!B19)/'Ind_P&amp;L'!B19</f>
        <v>0.44934026629797724</v>
      </c>
      <c r="K21" s="40">
        <f>('Ind_P&amp;L'!D19-'Ind_P&amp;L'!C19)/'Ind_P&amp;L'!C19</f>
        <v>0.20594761618382032</v>
      </c>
      <c r="L21" s="40">
        <f>('Ind_P&amp;L'!E19-'Ind_P&amp;L'!D19)/'Ind_P&amp;L'!D19</f>
        <v>8.8578208832026412E-2</v>
      </c>
      <c r="M21" s="40">
        <f>('Ind_P&amp;L'!F19-'Ind_P&amp;L'!E19)/'Ind_P&amp;L'!E19</f>
        <v>0.20266022147449567</v>
      </c>
    </row>
    <row r="22" spans="1:13">
      <c r="A22" s="6" t="s">
        <v>429</v>
      </c>
      <c r="B22" s="6" t="s">
        <v>430</v>
      </c>
      <c r="C22" s="40"/>
      <c r="D22" s="40">
        <f>('Profit Loss'!C23-'Profit Loss'!B23)/'Profit Loss'!B23</f>
        <v>0.37519623233908944</v>
      </c>
      <c r="E22" s="40">
        <f>('Profit Loss'!D23-'Profit Loss'!C23)/'Profit Loss'!C23</f>
        <v>0.16666666666666677</v>
      </c>
      <c r="F22" s="40">
        <f>('Profit Loss'!E20-'Profit Loss'!D20)/'Profit Loss'!D20</f>
        <v>0.12739174219536759</v>
      </c>
      <c r="G22" s="40">
        <f>('Profit Loss'!F20-'Profit Loss'!E20)/'Profit Loss'!E20</f>
        <v>0.1499776686020545</v>
      </c>
      <c r="H22" s="6"/>
      <c r="I22" s="40"/>
      <c r="J22" s="40">
        <f>J21</f>
        <v>0.44934026629797724</v>
      </c>
      <c r="K22" s="40">
        <f>K21</f>
        <v>0.20594761618382032</v>
      </c>
      <c r="L22" s="40">
        <f>L21</f>
        <v>8.8578208832026412E-2</v>
      </c>
      <c r="M22" s="40">
        <f>M21</f>
        <v>0.20266022147449567</v>
      </c>
    </row>
    <row r="23" spans="1:13">
      <c r="A23" s="5" t="s">
        <v>431</v>
      </c>
      <c r="B23" s="6"/>
      <c r="C23" s="40"/>
      <c r="D23" s="40"/>
      <c r="E23" s="40"/>
      <c r="F23" s="40"/>
      <c r="G23" s="40"/>
      <c r="H23" s="6"/>
      <c r="I23" s="40"/>
      <c r="J23" s="40"/>
      <c r="K23" s="40"/>
      <c r="L23" s="40"/>
      <c r="M23" s="40"/>
    </row>
    <row r="24" spans="1:13">
      <c r="A24" s="6" t="s">
        <v>432</v>
      </c>
      <c r="B24" s="6" t="s">
        <v>433</v>
      </c>
      <c r="C24" s="40">
        <f>(Balance_Sheet!B28+Balance_Sheet!B25)/Balance_Sheet!B41</f>
        <v>1.9531442663378544</v>
      </c>
      <c r="D24" s="40">
        <f>(Balance_Sheet!C28+Balance_Sheet!C25)/Balance_Sheet!C41</f>
        <v>1.8828389543545985</v>
      </c>
      <c r="E24" s="40">
        <f>(Balance_Sheet!D28+Balance_Sheet!D25)/Balance_Sheet!D41</f>
        <v>2.2062617998741345</v>
      </c>
      <c r="F24" s="40">
        <f>(Balance_Sheet!E28+Balance_Sheet!E25)/Balance_Sheet!E41</f>
        <v>2.2481720430107526</v>
      </c>
      <c r="G24" s="40">
        <f>(Balance_Sheet!F28+Balance_Sheet!F25)/Balance_Sheet!F41</f>
        <v>2.797544128933231</v>
      </c>
      <c r="H24" s="6"/>
      <c r="I24" s="40">
        <f>(Ind_bala!B24+Ind_bala!B21)/Ind_bala!B34</f>
        <v>0.64539170672990287</v>
      </c>
      <c r="J24" s="40">
        <f>(Ind_bala!C24+Ind_bala!C21)/Ind_bala!C34</f>
        <v>0.63801093498618699</v>
      </c>
      <c r="K24" s="40">
        <f>(Ind_bala!D24+Ind_bala!D21)/Ind_bala!D34</f>
        <v>0.65992984383387221</v>
      </c>
      <c r="L24" s="40">
        <f>(Ind_bala!E24+Ind_bala!E21)/Ind_bala!E34</f>
        <v>0.63083252138140089</v>
      </c>
      <c r="M24" s="40">
        <f>(Ind_bala!F24+Ind_bala!F21)/Ind_bala!F34</f>
        <v>0.67499034003091185</v>
      </c>
    </row>
    <row r="25" spans="1:13">
      <c r="A25" s="6" t="s">
        <v>434</v>
      </c>
      <c r="B25" s="6" t="s">
        <v>435</v>
      </c>
      <c r="C25" s="40">
        <f>'Profit Loss'!B11/ABS('Profit Loss'!B15)</f>
        <v>21.265789473684212</v>
      </c>
      <c r="D25" s="40">
        <f>'Profit Loss'!C11/ABS('Profit Loss'!C15)</f>
        <v>23.392111368909514</v>
      </c>
      <c r="E25" s="40">
        <f>'Profit Loss'!D11/ABS('Profit Loss'!D15)</f>
        <v>26.038216560509554</v>
      </c>
      <c r="F25" s="40">
        <f>'Profit Loss'!E11/ABS('Profit Loss'!E15)</f>
        <v>24.361739130434781</v>
      </c>
      <c r="G25" s="40">
        <f>'Profit Loss'!F11/ABS('Profit Loss'!F15)</f>
        <v>24.120743034055728</v>
      </c>
      <c r="H25" s="6"/>
      <c r="I25" s="40">
        <f>-'Ind_P&amp;L'!B10/'Ind_P&amp;L'!B14</f>
        <v>11.680440771349863</v>
      </c>
      <c r="J25" s="40">
        <f>-'Ind_P&amp;L'!C10/'Ind_P&amp;L'!C14</f>
        <v>14.433130328867236</v>
      </c>
      <c r="K25" s="40">
        <f>-'Ind_P&amp;L'!D10/'Ind_P&amp;L'!D14</f>
        <v>16.921021795172251</v>
      </c>
      <c r="L25" s="40">
        <f>-'Ind_P&amp;L'!E10/'Ind_P&amp;L'!E14</f>
        <v>16.666174609869252</v>
      </c>
      <c r="M25" s="40">
        <f>-'Ind_P&amp;L'!F10/'Ind_P&amp;L'!F14</f>
        <v>18.310529446757883</v>
      </c>
    </row>
    <row r="26" spans="1:13">
      <c r="A26" s="6" t="s">
        <v>381</v>
      </c>
      <c r="B26" s="6" t="s">
        <v>436</v>
      </c>
      <c r="C26" s="40">
        <f>(Balance_Sheet!B28+Balance_Sheet!B25)/((Balance_Sheet!B28+Balance_Sheet!B25)+Balance_Sheet!B41)</f>
        <v>0.66137787056367436</v>
      </c>
      <c r="D26" s="40">
        <f>(Balance_Sheet!C28+Balance_Sheet!C25)/((Balance_Sheet!C28+Balance_Sheet!C25)+Balance_Sheet!C41)</f>
        <v>0.65311971433940985</v>
      </c>
      <c r="E26" s="40">
        <f>(Balance_Sheet!D28+Balance_Sheet!D25)/((Balance_Sheet!D28+Balance_Sheet!D25)+Balance_Sheet!D41)</f>
        <v>0.68811030963246478</v>
      </c>
      <c r="F26" s="40">
        <f>(Balance_Sheet!E28+Balance_Sheet!E25)/((Balance_Sheet!E28+Balance_Sheet!E25)+Balance_Sheet!E41)</f>
        <v>0.69213453389830504</v>
      </c>
      <c r="G26" s="40">
        <f>(Balance_Sheet!F28+Balance_Sheet!F25)/((Balance_Sheet!F28+Balance_Sheet!F25)+Balance_Sheet!F41)</f>
        <v>0.73667192110262314</v>
      </c>
      <c r="H26" s="6"/>
      <c r="I26" s="40">
        <f>(Ind_bala!B24+Ind_bala!B21)/((Ind_bala!B24+Ind_bala!B21)+Ind_bala!B34)</f>
        <v>0.39224198352899947</v>
      </c>
      <c r="J26" s="40">
        <f>(Ind_bala!C24+Ind_bala!C21)/((Ind_bala!C24+Ind_bala!C21)+Ind_bala!C34)</f>
        <v>0.38950346506176847</v>
      </c>
      <c r="K26" s="40">
        <f>(Ind_bala!D24+Ind_bala!D21)/((Ind_bala!D24+Ind_bala!D21)+Ind_bala!D34)</f>
        <v>0.39756490088138857</v>
      </c>
      <c r="L26" s="40">
        <f>(Ind_bala!E24+Ind_bala!E21)/((Ind_bala!E24+Ind_bala!E21)+Ind_bala!E34)</f>
        <v>0.38681625066383429</v>
      </c>
      <c r="M26" s="40">
        <f>(Ind_bala!F24+Ind_bala!F21)/((Ind_bala!F24+Ind_bala!F21)+Ind_bala!F34)</f>
        <v>0.40298163153493471</v>
      </c>
    </row>
    <row r="27" spans="1:13">
      <c r="A27" s="5" t="s">
        <v>437</v>
      </c>
      <c r="B27" s="6"/>
      <c r="C27" s="40"/>
      <c r="D27" s="40"/>
      <c r="E27" s="40"/>
      <c r="F27" s="40"/>
      <c r="G27" s="40"/>
      <c r="H27" s="6"/>
      <c r="I27" s="40"/>
      <c r="J27" s="40"/>
      <c r="K27" s="40"/>
      <c r="L27" s="40"/>
      <c r="M27" s="40"/>
    </row>
    <row r="28" spans="1:13">
      <c r="A28" s="6" t="s">
        <v>375</v>
      </c>
      <c r="B28" s="6" t="s">
        <v>438</v>
      </c>
      <c r="C28" s="40">
        <f>'Profit Loss'!B20/'Profit Loss'!B4</f>
        <v>0.41899222273054049</v>
      </c>
      <c r="D28" s="40">
        <f>'Profit Loss'!C20/'Profit Loss'!C4</f>
        <v>0.46001906375767848</v>
      </c>
      <c r="E28" s="40">
        <f>'Profit Loss'!D20/'Profit Loss'!D4</f>
        <v>0.44655304222691911</v>
      </c>
      <c r="F28" s="40">
        <f>'Profit Loss'!E20/'Profit Loss'!E4</f>
        <v>0.44605147820543467</v>
      </c>
      <c r="G28" s="40">
        <f>'Profit Loss'!F20/'Profit Loss'!F4</f>
        <v>0.45705967976710332</v>
      </c>
      <c r="H28" s="6"/>
      <c r="I28" s="40">
        <f>I16</f>
        <v>0.25146247449172399</v>
      </c>
      <c r="J28" s="40">
        <f>J16</f>
        <v>0.29643085472607456</v>
      </c>
      <c r="K28" s="40">
        <f>K16</f>
        <v>0.31707915528437997</v>
      </c>
      <c r="L28" s="40">
        <f>L16</f>
        <v>0.3224201245817141</v>
      </c>
      <c r="M28" s="40">
        <f>M16</f>
        <v>0.34237248500220357</v>
      </c>
    </row>
    <row r="29" spans="1:13">
      <c r="A29" s="6" t="s">
        <v>387</v>
      </c>
      <c r="B29" s="6" t="s">
        <v>191</v>
      </c>
      <c r="C29" s="40">
        <f>'Profit Loss'!B4/Balance_Sheet!B18</f>
        <v>0.4556038589804669</v>
      </c>
      <c r="D29" s="40">
        <f>'Profit Loss'!C4/Balance_Sheet!C18</f>
        <v>0.5013140778889803</v>
      </c>
      <c r="E29" s="40">
        <f>'Profit Loss'!D4/Balance_Sheet!D18</f>
        <v>0.57424336328891645</v>
      </c>
      <c r="F29" s="40">
        <f>'Profit Loss'!E4/Balance_Sheet!E18</f>
        <v>0.59126460610629472</v>
      </c>
      <c r="G29" s="40">
        <f>'Profit Loss'!F4/Balance_Sheet!F18</f>
        <v>0.58582392213140322</v>
      </c>
      <c r="H29" s="6"/>
      <c r="I29" s="40">
        <f>'Ind_P&amp;L'!B3/Ind_bala!B16</f>
        <v>0.35954879086059638</v>
      </c>
      <c r="J29" s="40">
        <f>'Ind_P&amp;L'!C3/Ind_bala!C16</f>
        <v>0.43475657993200917</v>
      </c>
      <c r="K29" s="40">
        <f>'Ind_P&amp;L'!D3/Ind_bala!D16</f>
        <v>0.50229237190653042</v>
      </c>
      <c r="L29" s="40">
        <f>'Ind_P&amp;L'!E3/Ind_bala!E16</f>
        <v>0.48539995302668826</v>
      </c>
      <c r="M29" s="40">
        <f>'Ind_P&amp;L'!F3/Ind_bala!F16</f>
        <v>0.52011180371197685</v>
      </c>
    </row>
    <row r="30" spans="1:13">
      <c r="A30" s="6" t="s">
        <v>439</v>
      </c>
      <c r="B30" s="6" t="s">
        <v>376</v>
      </c>
      <c r="C30" s="40">
        <f>Balance_Sheet!B18/Balance_Sheet!B41</f>
        <v>5.1763255240443895</v>
      </c>
      <c r="D30" s="40">
        <f>Balance_Sheet!C18/Balance_Sheet!C41</f>
        <v>5.1021265068400377</v>
      </c>
      <c r="E30" s="40">
        <f>Balance_Sheet!D18/Balance_Sheet!D41</f>
        <v>6.0925110132158586</v>
      </c>
      <c r="F30" s="40">
        <f>Balance_Sheet!E18/Balance_Sheet!E41</f>
        <v>6.0857347670250892</v>
      </c>
      <c r="G30" s="40">
        <f>Balance_Sheet!F18/Balance_Sheet!F41</f>
        <v>7.3800460475825016</v>
      </c>
      <c r="H30" s="6"/>
      <c r="I30" s="40">
        <f>Ind_bala!B16/Ind_bala!B34</f>
        <v>2.6523832520055644</v>
      </c>
      <c r="J30" s="40">
        <f>Ind_bala!C16/Ind_bala!C34</f>
        <v>2.3983129610993954</v>
      </c>
      <c r="K30" s="40">
        <f>Ind_bala!D16/Ind_bala!D34</f>
        <v>2.2789768684384635</v>
      </c>
      <c r="L30" s="40">
        <f>Ind_bala!E16/Ind_bala!E34</f>
        <v>2.3047184378614611</v>
      </c>
      <c r="M30" s="40">
        <f>Ind_bala!F16/Ind_bala!F34</f>
        <v>2.2944304911557616</v>
      </c>
    </row>
    <row r="31" spans="1:13">
      <c r="A31" s="5" t="s">
        <v>379</v>
      </c>
      <c r="B31" s="6"/>
      <c r="C31" s="155">
        <f>PRODUCT(C28:C30)</f>
        <v>0.98813193588162762</v>
      </c>
      <c r="D31" s="155">
        <f>PRODUCT(D28:D30)</f>
        <v>1.1766219693891371</v>
      </c>
      <c r="E31" s="155">
        <f>PRODUCT(E28:E30)</f>
        <v>1.5623033354310887</v>
      </c>
      <c r="F31" s="155">
        <f>PRODUCT(F28:F30)</f>
        <v>1.6050179211469531</v>
      </c>
      <c r="G31" s="155">
        <f>PRODUCT(G28:G30)</f>
        <v>1.9760552570990018</v>
      </c>
      <c r="H31" s="6"/>
      <c r="I31" s="155">
        <f>PRODUCT(I28:I30)</f>
        <v>0.23981000295518926</v>
      </c>
      <c r="J31" s="155">
        <f>PRODUCT(J28:J30)</f>
        <v>0.30908321742418904</v>
      </c>
      <c r="K31" s="155">
        <f>PRODUCT(K28:K30)</f>
        <v>0.36296453493452513</v>
      </c>
      <c r="L31" s="155">
        <f>PRODUCT(L28:L30)</f>
        <v>0.3606946889796756</v>
      </c>
      <c r="M31" s="40">
        <f>AVERAGE(Table39[[#This Row],[Column9]:[Column12]])</f>
        <v>0.31813811107339474</v>
      </c>
    </row>
    <row r="32" spans="1:13">
      <c r="A32" s="5" t="s">
        <v>389</v>
      </c>
      <c r="B32" s="6"/>
      <c r="C32" s="6"/>
      <c r="D32" s="6"/>
      <c r="E32" s="6"/>
      <c r="F32" s="6"/>
      <c r="G32" s="6"/>
      <c r="H32" s="6"/>
      <c r="I32" s="6"/>
      <c r="J32" s="6"/>
      <c r="K32" s="6"/>
      <c r="L32" s="6"/>
      <c r="M32" s="6"/>
    </row>
    <row r="33" spans="1:13">
      <c r="A33" s="6" t="s">
        <v>382</v>
      </c>
      <c r="B33" s="6" t="s">
        <v>383</v>
      </c>
      <c r="C33" s="40">
        <f>'Profit Loss'!B20/'Profit Loss'!B18</f>
        <v>0.82615979381443294</v>
      </c>
      <c r="D33" s="40">
        <f>'Profit Loss'!C20/'Profit Loss'!C18</f>
        <v>0.84282526438342875</v>
      </c>
      <c r="E33" s="40">
        <f>'Profit Loss'!D20/'Profit Loss'!D18</f>
        <v>0.84640300034094784</v>
      </c>
      <c r="F33" s="40">
        <f>'Profit Loss'!E20/'Profit Loss'!E18</f>
        <v>0.82080797712442266</v>
      </c>
      <c r="G33" s="40">
        <f>'Profit Loss'!F20/'Profit Loss'!F18</f>
        <v>0.84397535072767793</v>
      </c>
      <c r="H33" s="6"/>
      <c r="I33" s="40">
        <f>'Ind_P&amp;L'!B19/'Ind_P&amp;L'!B17</f>
        <v>0.80093885411651422</v>
      </c>
      <c r="J33" s="40">
        <f>'Ind_P&amp;L'!C19/'Ind_P&amp;L'!C17</f>
        <v>0.8320995323635485</v>
      </c>
      <c r="K33" s="40">
        <f>'Ind_P&amp;L'!D19/'Ind_P&amp;L'!D17</f>
        <v>0.85120833760264647</v>
      </c>
      <c r="L33" s="40">
        <f>'Ind_P&amp;L'!E19/'Ind_P&amp;L'!E17</f>
        <v>0.83267126170682937</v>
      </c>
      <c r="M33" s="40">
        <f>'Ind_P&amp;L'!F19/'Ind_P&amp;L'!F17</f>
        <v>0.85246562458010477</v>
      </c>
    </row>
    <row r="34" spans="1:13">
      <c r="A34" s="6" t="s">
        <v>384</v>
      </c>
      <c r="B34" s="6" t="s">
        <v>385</v>
      </c>
      <c r="C34" s="40">
        <f>'Profit Loss'!B20/'Profit Loss'!B11</f>
        <v>0.79334240811780721</v>
      </c>
      <c r="D34" s="40">
        <f>'Profit Loss'!C20/'Profit Loss'!C11</f>
        <v>0.86163459631025585</v>
      </c>
      <c r="E34" s="40">
        <f>'Profit Loss'!D20/'Profit Loss'!D11</f>
        <v>0.80968688845401171</v>
      </c>
      <c r="F34" s="40">
        <f>'Profit Loss'!E20/'Profit Loss'!E11</f>
        <v>0.79918617932609937</v>
      </c>
      <c r="G34" s="40">
        <f>'Profit Loss'!F20/'Profit Loss'!F11</f>
        <v>0.82620972917468871</v>
      </c>
      <c r="H34" s="6"/>
      <c r="I34" s="40">
        <f>'Ind_P&amp;L'!B19/'Ind_P&amp;L'!B10</f>
        <v>0.7846933962264151</v>
      </c>
      <c r="J34" s="40">
        <f>'Ind_P&amp;L'!C19/'Ind_P&amp;L'!C10</f>
        <v>0.81388401296246282</v>
      </c>
      <c r="K34" s="40">
        <f>'Ind_P&amp;L'!D19/'Ind_P&amp;L'!D10</f>
        <v>0.80540705243622057</v>
      </c>
      <c r="L34" s="40">
        <f>'Ind_P&amp;L'!E19/'Ind_P&amp;L'!E10</f>
        <v>0.80098948513874302</v>
      </c>
      <c r="M34" s="40">
        <f>'Ind_P&amp;L'!F19/'Ind_P&amp;L'!F10</f>
        <v>0.82447476716482559</v>
      </c>
    </row>
    <row r="35" spans="1:13">
      <c r="A35" s="6" t="s">
        <v>386</v>
      </c>
      <c r="B35" s="6" t="s">
        <v>440</v>
      </c>
      <c r="C35" s="40">
        <f>'Profit Loss'!B25/'Profit Loss'!B4</f>
        <v>0.56604143520031369</v>
      </c>
      <c r="D35" s="40">
        <f>'Profit Loss'!C25/'Profit Loss'!C4</f>
        <v>0.57233636941325994</v>
      </c>
      <c r="E35" s="40">
        <f>'Profit Loss'!D25/'Profit Loss'!D4</f>
        <v>0.5852408148581193</v>
      </c>
      <c r="F35" s="40">
        <f>'Profit Loss'!E25/'Profit Loss'!E4</f>
        <v>0.58996732807395014</v>
      </c>
      <c r="G35" s="40">
        <f>'Profit Loss'!F25/'Profit Loss'!F4</f>
        <v>0.58504633081265311</v>
      </c>
      <c r="H35" s="6"/>
      <c r="I35" s="40">
        <f>I14</f>
        <v>0.32045952686871743</v>
      </c>
      <c r="J35" s="40">
        <f>J14</f>
        <v>0.36421756663715943</v>
      </c>
      <c r="K35" s="40">
        <f>K14</f>
        <v>0.39368807899715919</v>
      </c>
      <c r="L35" s="40">
        <f>L14</f>
        <v>0.40252728726628195</v>
      </c>
      <c r="M35" s="40">
        <f>M14</f>
        <v>0.41526132592212839</v>
      </c>
    </row>
    <row r="36" spans="1:13">
      <c r="A36" s="6" t="s">
        <v>387</v>
      </c>
      <c r="B36" s="6" t="s">
        <v>191</v>
      </c>
      <c r="C36" s="40">
        <f>'Profit Loss'!B4/Balance_Sheet!B18</f>
        <v>0.4556038589804669</v>
      </c>
      <c r="D36" s="40">
        <f>'Profit Loss'!C4/Balance_Sheet!C18</f>
        <v>0.5013140778889803</v>
      </c>
      <c r="E36" s="40">
        <f>'Profit Loss'!D4/Balance_Sheet!D18</f>
        <v>0.57424336328891645</v>
      </c>
      <c r="F36" s="40">
        <f>'Profit Loss'!E4/Balance_Sheet!E18</f>
        <v>0.59126460610629472</v>
      </c>
      <c r="G36" s="40">
        <f>'Profit Loss'!F4/Balance_Sheet!F18</f>
        <v>0.58582392213140322</v>
      </c>
      <c r="H36" s="6"/>
      <c r="I36" s="40">
        <f>'Ind_P&amp;L'!B3/Ind_bala!B16</f>
        <v>0.35954879086059638</v>
      </c>
      <c r="J36" s="40">
        <f>'Ind_P&amp;L'!C3/Ind_bala!C16</f>
        <v>0.43475657993200917</v>
      </c>
      <c r="K36" s="40">
        <f>'Ind_P&amp;L'!D3/Ind_bala!D16</f>
        <v>0.50229237190653042</v>
      </c>
      <c r="L36" s="40">
        <f>'Ind_P&amp;L'!E3/Ind_bala!E16</f>
        <v>0.48539995302668826</v>
      </c>
      <c r="M36" s="40">
        <f>'Ind_P&amp;L'!F3/Ind_bala!F16</f>
        <v>0.52011180371197685</v>
      </c>
    </row>
    <row r="37" spans="1:13">
      <c r="A37" s="6" t="s">
        <v>388</v>
      </c>
      <c r="B37" s="6" t="s">
        <v>441</v>
      </c>
      <c r="C37" s="40">
        <f>Balance_Sheet!B18/Balance_Sheet!B41</f>
        <v>5.1763255240443895</v>
      </c>
      <c r="D37" s="40">
        <f>Balance_Sheet!C18/Balance_Sheet!C41</f>
        <v>5.1021265068400377</v>
      </c>
      <c r="E37" s="40">
        <f>Balance_Sheet!D18/Balance_Sheet!D41</f>
        <v>6.0925110132158586</v>
      </c>
      <c r="F37" s="40">
        <f>Balance_Sheet!E18/Balance_Sheet!E41</f>
        <v>6.0857347670250892</v>
      </c>
      <c r="G37" s="40">
        <f>Balance_Sheet!F18/Balance_Sheet!F41</f>
        <v>7.3800460475825016</v>
      </c>
      <c r="H37" s="6"/>
      <c r="I37" s="40">
        <f>Ind_bala!B16/Ind_bala!B34</f>
        <v>2.6523832520055644</v>
      </c>
      <c r="J37" s="40">
        <f>Ind_bala!C16/Ind_bala!C34</f>
        <v>2.3983129610993954</v>
      </c>
      <c r="K37" s="40">
        <f>Ind_bala!D16/Ind_bala!D34</f>
        <v>2.2789768684384635</v>
      </c>
      <c r="L37" s="40">
        <f>Ind_bala!E16/Ind_bala!E34</f>
        <v>2.3047184378614611</v>
      </c>
      <c r="M37" s="40">
        <f>Ind_bala!F16/Ind_bala!F34</f>
        <v>2.2944304911557616</v>
      </c>
    </row>
    <row r="38" spans="1:13">
      <c r="A38" s="5" t="s">
        <v>374</v>
      </c>
      <c r="B38" s="6"/>
      <c r="C38" s="155">
        <f>PRODUCT(C33:C37)</f>
        <v>0.87494735609231578</v>
      </c>
      <c r="D38" s="155">
        <f>PRODUCT(D33:D37)</f>
        <v>1.0630976092065798</v>
      </c>
      <c r="E38" s="155">
        <f>PRODUCT(E33:E37)</f>
        <v>1.4032052945529834</v>
      </c>
      <c r="F38" s="155">
        <f>PRODUCT(F33:F37)</f>
        <v>1.3925551309642257</v>
      </c>
      <c r="G38" s="155">
        <f>PRODUCT(G33:G37)</f>
        <v>1.7637478656469079</v>
      </c>
      <c r="H38" s="6"/>
      <c r="I38" s="155">
        <f>PRODUCT(I33:I37)</f>
        <v>0.19207314897260716</v>
      </c>
      <c r="J38" s="155">
        <f>PRODUCT(J33:J37)</f>
        <v>0.25718800068008862</v>
      </c>
      <c r="K38" s="155">
        <f>PRODUCT(K33:K37)</f>
        <v>0.30895843839033477</v>
      </c>
      <c r="L38" s="155">
        <f>PRODUCT(L33:L37)</f>
        <v>0.30034010176365883</v>
      </c>
      <c r="M38" s="40">
        <f>AVERAGE(Table39[[#This Row],[Column9]:[Column12]])</f>
        <v>0.26463992245167234</v>
      </c>
    </row>
    <row r="39" spans="1:13">
      <c r="A39" s="6"/>
      <c r="B39" s="6"/>
      <c r="C39" s="40"/>
      <c r="D39" s="40"/>
      <c r="E39" s="40"/>
      <c r="F39" s="40"/>
      <c r="G39" s="40"/>
      <c r="H39" s="6"/>
      <c r="I39" s="40"/>
      <c r="J39" s="40"/>
      <c r="K39" s="40"/>
      <c r="L39" s="40"/>
      <c r="M39" s="40"/>
    </row>
    <row r="40" spans="1:13">
      <c r="A40" s="5" t="s">
        <v>393</v>
      </c>
      <c r="B40" s="6"/>
      <c r="C40" s="40"/>
      <c r="D40" s="40"/>
      <c r="E40" s="40"/>
      <c r="F40" s="40"/>
      <c r="G40" s="40"/>
      <c r="H40" s="6"/>
      <c r="I40" s="40"/>
      <c r="J40" s="40"/>
      <c r="K40" s="40"/>
      <c r="L40" s="40"/>
      <c r="M40" s="40"/>
    </row>
    <row r="41" spans="1:13">
      <c r="A41" s="6" t="s">
        <v>539</v>
      </c>
      <c r="B41" s="6" t="s">
        <v>390</v>
      </c>
      <c r="C41" s="40">
        <f>'Profit Loss'!B11/'Profit Loss'!B4</f>
        <v>0.52813541598588332</v>
      </c>
      <c r="D41" s="40">
        <f>'Profit Loss'!C11/'Profit Loss'!C4</f>
        <v>0.53389112476170308</v>
      </c>
      <c r="E41" s="40">
        <f>'Profit Loss'!D11/'Profit Loss'!D4</f>
        <v>0.55151324369294419</v>
      </c>
      <c r="F41" s="40">
        <f>'Profit Loss'!E11/'Profit Loss'!E4</f>
        <v>0.55813212208144081</v>
      </c>
      <c r="G41" s="40">
        <f>'Profit Loss'!F11/'Profit Loss'!F4</f>
        <v>0.55320055383959954</v>
      </c>
      <c r="H41" s="6"/>
      <c r="I41" s="40">
        <f>'Ind_P&amp;L'!B10/'Ind_P&amp;L'!B3</f>
        <v>0.32045952686871743</v>
      </c>
      <c r="J41" s="40">
        <f>'Ind_P&amp;L'!C10/'Ind_P&amp;L'!C3</f>
        <v>0.36421756663715943</v>
      </c>
      <c r="K41" s="40">
        <f>'Ind_P&amp;L'!D10/'Ind_P&amp;L'!D3</f>
        <v>0.39368807899715919</v>
      </c>
      <c r="L41" s="40">
        <f>'Ind_P&amp;L'!E10/'Ind_P&amp;L'!E3</f>
        <v>0.40252728726628195</v>
      </c>
      <c r="M41" s="40">
        <f>'Ind_P&amp;L'!F10/'Ind_P&amp;L'!F3</f>
        <v>0.41526132592212839</v>
      </c>
    </row>
    <row r="42" spans="1:13">
      <c r="A42" s="6" t="s">
        <v>391</v>
      </c>
      <c r="B42" s="6" t="s">
        <v>555</v>
      </c>
      <c r="C42" s="40">
        <f>(Balance_Sheet!B28+Balance_Sheet!B25)/((Balance_Sheet!B28+Balance_Sheet!B25)+Balance_Sheet!B41)</f>
        <v>0.66137787056367436</v>
      </c>
      <c r="D42" s="40">
        <f>(Balance_Sheet!C28+Balance_Sheet!C25)/((Balance_Sheet!C28+Balance_Sheet!C25)+Balance_Sheet!C41)</f>
        <v>0.65311971433940985</v>
      </c>
      <c r="E42" s="40">
        <f>(Balance_Sheet!D28+Balance_Sheet!D25)/((Balance_Sheet!D28+Balance_Sheet!D25)+Balance_Sheet!D41)</f>
        <v>0.68811030963246478</v>
      </c>
      <c r="F42" s="40">
        <f>(Balance_Sheet!E28+Balance_Sheet!E25)/((Balance_Sheet!E28+Balance_Sheet!E25)+Balance_Sheet!E41)</f>
        <v>0.69213453389830504</v>
      </c>
      <c r="G42" s="40">
        <f>(Balance_Sheet!F28+Balance_Sheet!F25)/((Balance_Sheet!F28+Balance_Sheet!F25)+Balance_Sheet!F41)</f>
        <v>0.73667192110262314</v>
      </c>
      <c r="H42" s="6"/>
      <c r="I42" s="40">
        <f>(Ind_bala!B24+Ind_bala!B21)/((Ind_bala!B24+Ind_bala!B21)+Ind_bala!B34)</f>
        <v>0.39224198352899947</v>
      </c>
      <c r="J42" s="40">
        <f>(Ind_bala!C24+Ind_bala!C21)/((Ind_bala!C24+Ind_bala!C21)+Ind_bala!C34)</f>
        <v>0.38950346506176847</v>
      </c>
      <c r="K42" s="40">
        <f>(Ind_bala!D24+Ind_bala!D21)/((Ind_bala!D24+Ind_bala!D21)+Ind_bala!D34)</f>
        <v>0.39756490088138857</v>
      </c>
      <c r="L42" s="40">
        <f>(Ind_bala!E24+Ind_bala!E21)/((Ind_bala!E24+Ind_bala!E21)+Ind_bala!E34)</f>
        <v>0.38681625066383429</v>
      </c>
      <c r="M42" s="40">
        <f>(Ind_bala!F24+Ind_bala!F21)/((Ind_bala!F24+Ind_bala!F21)+Ind_bala!F34)</f>
        <v>0.40298163153493471</v>
      </c>
    </row>
    <row r="43" spans="1:13">
      <c r="A43" s="6" t="s">
        <v>392</v>
      </c>
      <c r="B43" s="6" t="s">
        <v>558</v>
      </c>
      <c r="C43" s="40">
        <f>(Balance_Sheet!B28+Balance_Sheet!B25)/'Profit Loss'!B25</f>
        <v>1.4631104953238656</v>
      </c>
      <c r="D43" s="40">
        <f>(Balance_Sheet!C28+Balance_Sheet!C25)/'Profit Loss'!C25</f>
        <v>1.2861769059955588</v>
      </c>
      <c r="E43" s="40">
        <f>(Balance_Sheet!D28+Balance_Sheet!D25)/'Profit Loss'!D25</f>
        <v>1.0775318887352083</v>
      </c>
      <c r="F43" s="40">
        <f>(Balance_Sheet!E28+Balance_Sheet!E25)/'Profit Loss'!E25</f>
        <v>1.0590261362868914</v>
      </c>
      <c r="G43" s="40">
        <f>(Balance_Sheet!F28+Balance_Sheet!F25)/'Profit Loss'!F25</f>
        <v>1.1060137144244189</v>
      </c>
      <c r="H43" s="6"/>
      <c r="I43" s="40">
        <f>(Ind_bala!B24+Ind_bala!B21)/'Ind_P&amp;L'!B22</f>
        <v>1.9603082514175625</v>
      </c>
      <c r="J43" s="40">
        <f>(Ind_bala!C24+Ind_bala!C21)/'Ind_P&amp;L'!C22</f>
        <v>1.5836130777185586</v>
      </c>
      <c r="K43" s="40">
        <f>(Ind_bala!D24+Ind_bala!D21)/'Ind_P&amp;L'!D22</f>
        <v>1.3939721548359878</v>
      </c>
      <c r="L43" s="40">
        <f>(Ind_bala!E24+Ind_bala!E21)/'Ind_P&amp;L'!E22</f>
        <v>1.3365162910293709</v>
      </c>
      <c r="M43" s="40">
        <f>(Ind_bala!F24+Ind_bala!F21)/'Ind_P&amp;L'!F22</f>
        <v>1.30405706642889</v>
      </c>
    </row>
    <row r="44" spans="1:13">
      <c r="A44" s="6" t="s">
        <v>556</v>
      </c>
      <c r="B44" s="6" t="s">
        <v>557</v>
      </c>
      <c r="C44" s="40">
        <f>'Cash Flow'!B24/(Balance_Sheet!B28+Balance_Sheet!B25)</f>
        <v>0.57007575757575757</v>
      </c>
      <c r="D44" s="40">
        <f>'Cash Flow'!C24/(Balance_Sheet!C28+Balance_Sheet!C25)</f>
        <v>0.68074239263362346</v>
      </c>
      <c r="E44" s="40">
        <f>'Cash Flow'!D24/(Balance_Sheet!D28+Balance_Sheet!D25)</f>
        <v>0.79833131284318615</v>
      </c>
      <c r="F44" s="40">
        <f>'Cash Flow'!E24/(Balance_Sheet!E28+Balance_Sheet!E25)</f>
        <v>0.76398188891014607</v>
      </c>
      <c r="G44" s="40">
        <f>'Cash Flow'!F24/(Balance_Sheet!F28+Balance_Sheet!F25)</f>
        <v>0.81092944145725887</v>
      </c>
      <c r="H44" s="6"/>
      <c r="I44" s="40">
        <f>Ind_Cashflow!B11/(Ind_bala!B24+Ind_bala!B21)</f>
        <v>0.49547134832088091</v>
      </c>
      <c r="J44" s="40">
        <f>Ind_Cashflow!C11/(Ind_bala!C24+Ind_bala!C21)</f>
        <v>0.63454158210934519</v>
      </c>
      <c r="K44" s="40">
        <f>Ind_Cashflow!D11/(Ind_bala!D24+Ind_bala!D21)</f>
        <v>0.7159651943630001</v>
      </c>
      <c r="L44" s="40">
        <f>Ind_Cashflow!E11/(Ind_bala!E24+Ind_bala!E21)</f>
        <v>0.75539457877575356</v>
      </c>
      <c r="M44" s="40">
        <f>Ind_Cashflow!F11/(Ind_bala!F24+Ind_bala!F21)</f>
        <v>0.77645000993838198</v>
      </c>
    </row>
    <row r="45" spans="1:13">
      <c r="A45" s="5" t="s">
        <v>394</v>
      </c>
      <c r="B45" s="6"/>
      <c r="C45" s="40"/>
      <c r="D45" s="40"/>
      <c r="E45" s="40"/>
      <c r="F45" s="40"/>
      <c r="G45" s="40"/>
      <c r="H45" s="6"/>
      <c r="I45" s="40"/>
      <c r="J45" s="40"/>
      <c r="K45" s="40"/>
      <c r="L45" s="40"/>
      <c r="M45" s="40"/>
    </row>
    <row r="46" spans="1:13">
      <c r="A46" s="6"/>
      <c r="B46" s="6" t="s">
        <v>442</v>
      </c>
      <c r="C46" s="40">
        <f>'Profit Loss'!B25/ABS('Profit Loss'!B15)</f>
        <v>22.792105263157893</v>
      </c>
      <c r="D46" s="40">
        <f>'Profit Loss'!C25/ABS('Profit Loss'!C15)</f>
        <v>25.076566125290022</v>
      </c>
      <c r="E46" s="40">
        <f>'Profit Loss'!D25/ABS('Profit Loss'!D15)</f>
        <v>27.630573248407643</v>
      </c>
      <c r="F46" s="40">
        <f>'Profit Loss'!E25/ABS('Profit Loss'!E15)</f>
        <v>25.751304347826085</v>
      </c>
      <c r="G46" s="40">
        <f>'Profit Loss'!F25/ABS('Profit Loss'!F15)</f>
        <v>25.509287925696594</v>
      </c>
      <c r="H46" s="6"/>
      <c r="I46" s="40">
        <f>Table39[[#This Row],[Column3]]</f>
        <v>22.792105263157893</v>
      </c>
      <c r="J46" s="40">
        <f>Table39[[#This Row],[Column4]]</f>
        <v>25.076566125290022</v>
      </c>
      <c r="K46" s="40">
        <f>Table39[[#This Row],[Column5]]</f>
        <v>27.630573248407643</v>
      </c>
      <c r="L46" s="40">
        <f>Table39[[#This Row],[Column6]]</f>
        <v>25.751304347826085</v>
      </c>
      <c r="M46" s="40">
        <f>Table39[[#This Row],[Column7]]</f>
        <v>25.509287925696594</v>
      </c>
    </row>
    <row r="47" spans="1:13">
      <c r="A47" s="6"/>
      <c r="B47" s="6" t="s">
        <v>443</v>
      </c>
      <c r="C47" s="40">
        <f>'Profit Loss'!B11/ABS('Profit Loss'!B15)</f>
        <v>21.265789473684212</v>
      </c>
      <c r="D47" s="40">
        <f>'Profit Loss'!C11/ABS('Profit Loss'!C15)</f>
        <v>23.392111368909514</v>
      </c>
      <c r="E47" s="40">
        <f>'Profit Loss'!D11/ABS('Profit Loss'!D15)</f>
        <v>26.038216560509554</v>
      </c>
      <c r="F47" s="40">
        <f>'Profit Loss'!E11/ABS('Profit Loss'!E15)</f>
        <v>24.361739130434781</v>
      </c>
      <c r="G47" s="40">
        <f>'Profit Loss'!F11/ABS('Profit Loss'!F15)</f>
        <v>24.120743034055728</v>
      </c>
      <c r="H47" s="6"/>
      <c r="I47" s="40">
        <f>'Ind_P&amp;L'!B10/ABS('Ind_P&amp;L'!B14)</f>
        <v>11.680440771349863</v>
      </c>
      <c r="J47" s="40">
        <f>'Ind_P&amp;L'!C10/ABS('Ind_P&amp;L'!C14)</f>
        <v>14.433130328867236</v>
      </c>
      <c r="K47" s="40">
        <f>'Ind_P&amp;L'!D10/ABS('Ind_P&amp;L'!D14)</f>
        <v>16.921021795172251</v>
      </c>
      <c r="L47" s="40">
        <f>'Ind_P&amp;L'!E10/ABS('Ind_P&amp;L'!E14)</f>
        <v>16.666174609869252</v>
      </c>
      <c r="M47" s="40">
        <f>'Ind_P&amp;L'!F10/ABS('Ind_P&amp;L'!F14)</f>
        <v>18.310529446757883</v>
      </c>
    </row>
    <row r="48" spans="1:13">
      <c r="A48" s="6"/>
      <c r="B48" s="6"/>
      <c r="C48" s="40"/>
      <c r="D48" s="40"/>
      <c r="E48" s="40"/>
      <c r="F48" s="40"/>
      <c r="G48" s="40"/>
      <c r="H48" s="6"/>
      <c r="I48" s="40"/>
      <c r="J48" s="40"/>
      <c r="K48" s="40"/>
      <c r="L48" s="40"/>
      <c r="M48" s="40"/>
    </row>
    <row r="49" spans="1:13">
      <c r="A49" s="5" t="s">
        <v>444</v>
      </c>
      <c r="B49" s="6"/>
      <c r="C49" s="40"/>
      <c r="D49" s="40"/>
      <c r="E49" s="40"/>
      <c r="F49" s="40"/>
      <c r="G49" s="40"/>
      <c r="H49" s="6"/>
      <c r="I49" s="40"/>
      <c r="J49" s="40"/>
      <c r="K49" s="40"/>
      <c r="L49" s="40"/>
      <c r="M49" s="40"/>
    </row>
    <row r="50" spans="1:13">
      <c r="A50" s="5" t="s">
        <v>395</v>
      </c>
      <c r="B50" s="156">
        <v>430</v>
      </c>
      <c r="C50" s="40"/>
      <c r="D50" s="40"/>
      <c r="E50" s="40"/>
      <c r="F50" s="40"/>
      <c r="G50" s="40"/>
      <c r="H50" s="6"/>
      <c r="I50" s="40"/>
      <c r="J50" s="40"/>
      <c r="K50" s="40"/>
      <c r="L50" s="40"/>
      <c r="M50" s="40"/>
    </row>
    <row r="51" spans="1:13">
      <c r="A51" s="5" t="s">
        <v>221</v>
      </c>
      <c r="B51" s="6"/>
      <c r="C51" s="40">
        <f>B50*'Profit Loss'!B22</f>
        <v>430860</v>
      </c>
      <c r="D51" s="40">
        <f>B50*'Profit Loss'!C22</f>
        <v>424840</v>
      </c>
      <c r="E51" s="40">
        <f>B50*'Profit Loss'!D22</f>
        <v>416240</v>
      </c>
      <c r="F51" s="40">
        <f>B50*'Profit Loss'!E22</f>
        <v>405920</v>
      </c>
      <c r="G51" s="40">
        <f>B50*'Profit Loss'!F22</f>
        <v>397750</v>
      </c>
      <c r="H51" s="40"/>
      <c r="I51" s="40">
        <f>B50*'Ind_P&amp;L'!B22</f>
        <v>19641110</v>
      </c>
      <c r="J51" s="40">
        <f>B50*'Ind_P&amp;L'!C22</f>
        <v>27027650</v>
      </c>
      <c r="K51" s="40">
        <f>B50*'Ind_P&amp;L'!D22</f>
        <v>32614640</v>
      </c>
      <c r="L51" s="40">
        <f>B50*'Ind_P&amp;L'!E22</f>
        <v>35619910</v>
      </c>
      <c r="M51" s="40">
        <f>B50*'Ind_P&amp;L'!F22</f>
        <v>41473070</v>
      </c>
    </row>
    <row r="52" spans="1:13">
      <c r="A52" s="6" t="s">
        <v>226</v>
      </c>
      <c r="B52" s="6" t="s">
        <v>445</v>
      </c>
      <c r="C52" s="40">
        <f>B50/'Profit Loss'!B23</f>
        <v>67.503924646781783</v>
      </c>
      <c r="D52" s="40">
        <f>B50/'Profit Loss'!C23</f>
        <v>49.086757990867582</v>
      </c>
      <c r="E52" s="40">
        <f>B50/'Profit Loss'!D23</f>
        <v>42.074363992172209</v>
      </c>
      <c r="F52" s="40">
        <f>B50/'Profit Loss'!E23</f>
        <v>36.348267117497883</v>
      </c>
      <c r="G52" s="40">
        <f>B50/'Profit Loss'!F23</f>
        <v>30.957523398128149</v>
      </c>
      <c r="H52" s="6"/>
      <c r="I52" s="40">
        <f>B50/'Ind_P&amp;L'!B21</f>
        <v>104.87804878048782</v>
      </c>
      <c r="J52" s="40">
        <f>B50/'Ind_P&amp;L'!C21</f>
        <v>71.666666666666671</v>
      </c>
      <c r="K52" s="40">
        <f>B50/'Ind_P&amp;L'!D21</f>
        <v>59.722222222222221</v>
      </c>
      <c r="L52" s="40">
        <f>B50/'Ind_P&amp;L'!E21</f>
        <v>51.807228915662648</v>
      </c>
      <c r="M52" s="40">
        <f>B50/'Ind_P&amp;L'!F21</f>
        <v>43.877551020408163</v>
      </c>
    </row>
    <row r="53" spans="1:13">
      <c r="A53" s="6" t="s">
        <v>559</v>
      </c>
      <c r="B53" s="6" t="s">
        <v>554</v>
      </c>
      <c r="C53" s="40">
        <f>C51/Balance_Sheet!B41</f>
        <v>66.408754623921084</v>
      </c>
      <c r="D53" s="40">
        <f>D51/Balance_Sheet!C41</f>
        <v>57.543004198835163</v>
      </c>
      <c r="E53" s="40">
        <f>E51/Balance_Sheet!D41</f>
        <v>65.487728130899939</v>
      </c>
      <c r="F53" s="40">
        <f>F51/Balance_Sheet!E41</f>
        <v>58.19641577060932</v>
      </c>
      <c r="G53" s="40">
        <f>G51/Balance_Sheet!F41</f>
        <v>61.051419800460479</v>
      </c>
      <c r="H53" s="6"/>
      <c r="I53" s="40">
        <f>I51/Ind_bala!B34</f>
        <v>141.56877301984301</v>
      </c>
      <c r="J53" s="40">
        <f>J51/Ind_bala!C34</f>
        <v>173.23973002249812</v>
      </c>
      <c r="K53" s="40">
        <f>K51/Ind_bala!D34</f>
        <v>203.569226160011</v>
      </c>
      <c r="L53" s="40">
        <f>L51/Ind_bala!E34</f>
        <v>202.95898075816368</v>
      </c>
      <c r="M53" s="40">
        <f>M51/Ind_bala!F34</f>
        <v>222.57143010475698</v>
      </c>
    </row>
    <row r="54" spans="1:13">
      <c r="A54" s="6" t="s">
        <v>396</v>
      </c>
      <c r="B54" s="6" t="s">
        <v>235</v>
      </c>
      <c r="C54" s="40">
        <f>C51/'Profit Loss'!B4</f>
        <v>28.158943859878438</v>
      </c>
      <c r="D54" s="40">
        <f>D51/'Profit Loss'!C4</f>
        <v>22.497352255877992</v>
      </c>
      <c r="E54" s="40">
        <f>E51/'Profit Loss'!D4</f>
        <v>18.718352295723346</v>
      </c>
      <c r="F54" s="40">
        <f>F51/'Profit Loss'!E4</f>
        <v>16.173400270937922</v>
      </c>
      <c r="G54" s="40">
        <f>G51/'Profit Loss'!F4</f>
        <v>14.12113466112827</v>
      </c>
      <c r="H54" s="6"/>
      <c r="I54" s="40">
        <f>I51/'Ind_P&amp;L'!B3</f>
        <v>148.447660796614</v>
      </c>
      <c r="J54" s="40">
        <f>J51/'Ind_P&amp;L'!C3</f>
        <v>166.14813858562013</v>
      </c>
      <c r="K54" s="40">
        <f>K51/'Ind_P&amp;L'!D3</f>
        <v>177.83433933663761</v>
      </c>
      <c r="L54" s="40">
        <f>L51/'Ind_P&amp;L'!E3</f>
        <v>181.42229941376306</v>
      </c>
      <c r="M54" s="40">
        <f>M51/'Ind_P&amp;L'!F3</f>
        <v>186.50814423068275</v>
      </c>
    </row>
    <row r="55" spans="1:13">
      <c r="A55" s="5" t="s">
        <v>223</v>
      </c>
      <c r="B55" s="6"/>
      <c r="C55" s="40"/>
      <c r="D55" s="40"/>
      <c r="E55" s="40"/>
      <c r="F55" s="40"/>
      <c r="G55" s="40"/>
      <c r="H55" s="6"/>
      <c r="I55" s="40"/>
      <c r="J55" s="40"/>
      <c r="K55" s="40"/>
      <c r="L55" s="40"/>
      <c r="M55" s="40"/>
    </row>
    <row r="56" spans="1:13">
      <c r="A56" s="6" t="s">
        <v>397</v>
      </c>
      <c r="B56" s="6"/>
      <c r="C56" s="40">
        <f>Balance_Sheet!B28+Balance_Sheet!B25</f>
        <v>12672</v>
      </c>
      <c r="D56" s="40">
        <f>Balance_Sheet!C28+Balance_Sheet!C25</f>
        <v>13901</v>
      </c>
      <c r="E56" s="40">
        <f>Balance_Sheet!D28+Balance_Sheet!D25</f>
        <v>14023</v>
      </c>
      <c r="F56" s="40">
        <f>Balance_Sheet!E28+Balance_Sheet!E25</f>
        <v>15681</v>
      </c>
      <c r="G56" s="40">
        <f>Balance_Sheet!F28+Balance_Sheet!F25</f>
        <v>18226</v>
      </c>
      <c r="H56" s="6"/>
      <c r="I56" s="40">
        <f>Ind_bala!B24+Ind_bala!B21</f>
        <v>89541</v>
      </c>
      <c r="J56" s="40">
        <f>Ind_bala!C24+Ind_bala!C21</f>
        <v>99538</v>
      </c>
      <c r="K56" s="40">
        <f>Ind_bala!D24+Ind_bala!D21</f>
        <v>105730</v>
      </c>
      <c r="L56" s="40">
        <f>Ind_bala!E24+Ind_bala!E21</f>
        <v>110713</v>
      </c>
      <c r="M56" s="40">
        <f>Ind_bala!F24+Ind_bala!F21</f>
        <v>125775</v>
      </c>
    </row>
    <row r="57" spans="1:13">
      <c r="A57" s="6" t="s">
        <v>398</v>
      </c>
      <c r="B57" s="6"/>
      <c r="C57" s="40">
        <f>C51</f>
        <v>430860</v>
      </c>
      <c r="D57" s="40">
        <f>D51</f>
        <v>424840</v>
      </c>
      <c r="E57" s="40">
        <f>E51</f>
        <v>416240</v>
      </c>
      <c r="F57" s="40">
        <f>F51</f>
        <v>405920</v>
      </c>
      <c r="G57" s="40">
        <f>G51</f>
        <v>397750</v>
      </c>
      <c r="H57" s="6"/>
      <c r="I57" s="40">
        <f>I51</f>
        <v>19641110</v>
      </c>
      <c r="J57" s="40">
        <f>J51</f>
        <v>27027650</v>
      </c>
      <c r="K57" s="40">
        <f>K51</f>
        <v>32614640</v>
      </c>
      <c r="L57" s="40">
        <f>L51</f>
        <v>35619910</v>
      </c>
      <c r="M57" s="40">
        <f>M51</f>
        <v>41473070</v>
      </c>
    </row>
    <row r="58" spans="1:13">
      <c r="A58" s="6" t="s">
        <v>399</v>
      </c>
      <c r="B58" s="6"/>
      <c r="C58" s="40">
        <f>Balance_Sheet!B4</f>
        <v>10113</v>
      </c>
      <c r="D58" s="40">
        <f>Balance_Sheet!C4</f>
        <v>7421</v>
      </c>
      <c r="E58" s="40">
        <f>Balance_Sheet!D4</f>
        <v>7008</v>
      </c>
      <c r="F58" s="40">
        <f>Balance_Sheet!E4</f>
        <v>8588</v>
      </c>
      <c r="G58" s="40">
        <f>Balance_Sheet!F4</f>
        <v>8442</v>
      </c>
      <c r="H58" s="6"/>
      <c r="I58" s="40">
        <f>Ind_bala!B4</f>
        <v>69864</v>
      </c>
      <c r="J58" s="40">
        <f>Ind_bala!C4</f>
        <v>93017</v>
      </c>
      <c r="K58" s="40">
        <f>Ind_bala!D4</f>
        <v>120397</v>
      </c>
      <c r="L58" s="40">
        <f>Ind_bala!E4</f>
        <v>146313</v>
      </c>
      <c r="M58" s="40">
        <f>Ind_bala!F4</f>
        <v>178016</v>
      </c>
    </row>
    <row r="59" spans="1:13">
      <c r="A59" s="6" t="s">
        <v>28</v>
      </c>
      <c r="B59" s="6"/>
      <c r="C59" s="40">
        <f>Balance_Sheet!B6</f>
        <v>483</v>
      </c>
      <c r="D59" s="40">
        <f>Balance_Sheet!C6</f>
        <v>473</v>
      </c>
      <c r="E59" s="40">
        <f>Balance_Sheet!D6</f>
        <v>400</v>
      </c>
      <c r="F59" s="40">
        <f>Balance_Sheet!E6</f>
        <v>1845</v>
      </c>
      <c r="G59" s="40">
        <f>Balance_Sheet!F6</f>
        <v>1874</v>
      </c>
      <c r="H59" s="6"/>
      <c r="I59" s="40">
        <f>Ind_bala!B6</f>
        <v>30499</v>
      </c>
      <c r="J59" s="40">
        <f>Ind_bala!C6</f>
        <v>15353</v>
      </c>
      <c r="K59" s="40">
        <f>Ind_bala!D6</f>
        <v>9476</v>
      </c>
      <c r="L59" s="40">
        <f>Ind_bala!E6</f>
        <v>12801</v>
      </c>
      <c r="M59" s="40">
        <f>Ind_bala!F6</f>
        <v>12833</v>
      </c>
    </row>
    <row r="60" spans="1:13">
      <c r="A60" s="5" t="s">
        <v>446</v>
      </c>
      <c r="B60" s="6"/>
      <c r="C60" s="40">
        <f>C51+C56-C58</f>
        <v>433419</v>
      </c>
      <c r="D60" s="40">
        <f>D51+D56-D58</f>
        <v>431320</v>
      </c>
      <c r="E60" s="40">
        <f>E51+E56-E58</f>
        <v>423255</v>
      </c>
      <c r="F60" s="40">
        <f>F51+F56-F58</f>
        <v>413013</v>
      </c>
      <c r="G60" s="40">
        <f>G51+G56-G58</f>
        <v>407534</v>
      </c>
      <c r="H60" s="6"/>
      <c r="I60" s="40">
        <f>I51+I56-I58</f>
        <v>19660787</v>
      </c>
      <c r="J60" s="40">
        <f>J51+J56-J58</f>
        <v>27034171</v>
      </c>
      <c r="K60" s="40">
        <f>K51+K56-K58</f>
        <v>32599973</v>
      </c>
      <c r="L60" s="40">
        <f>L51+L56-L58</f>
        <v>35584310</v>
      </c>
      <c r="M60" s="40">
        <f>M51+M56-M58</f>
        <v>41420829</v>
      </c>
    </row>
    <row r="61" spans="1:13">
      <c r="A61" s="6" t="s">
        <v>447</v>
      </c>
      <c r="B61" s="6"/>
      <c r="C61" s="40">
        <f>C60/'Profit Loss'!B25</f>
        <v>50.042604780048492</v>
      </c>
      <c r="D61" s="40">
        <f>D60/'Profit Loss'!C25</f>
        <v>39.907475943745375</v>
      </c>
      <c r="E61" s="40">
        <f>E60/'Profit Loss'!D25</f>
        <v>32.523052097740894</v>
      </c>
      <c r="F61" s="40">
        <f>F60/'Profit Loss'!E25</f>
        <v>27.893091105558181</v>
      </c>
      <c r="G61" s="40">
        <f>G60/'Profit Loss'!F25</f>
        <v>24.730505491838098</v>
      </c>
      <c r="H61" s="6"/>
      <c r="I61" s="40">
        <f>I60/Ind_bala!B22</f>
        <v>1169.6583377952288</v>
      </c>
      <c r="J61" s="40">
        <f>J60/Ind_bala!C22</f>
        <v>1465.9818339569438</v>
      </c>
      <c r="K61" s="40">
        <f>K60/Ind_bala!D22</f>
        <v>1728.6162044647117</v>
      </c>
      <c r="L61" s="40">
        <f>L60/Ind_bala!E22</f>
        <v>1770.8923061610431</v>
      </c>
      <c r="M61" s="40">
        <f>M60/Ind_bala!F22</f>
        <v>1802.2376974285341</v>
      </c>
    </row>
    <row r="62" spans="1:13">
      <c r="A62" s="6" t="s">
        <v>232</v>
      </c>
      <c r="B62" s="6"/>
      <c r="C62" s="40">
        <f>C60/'Profit Loss'!B11</f>
        <v>53.634327434723424</v>
      </c>
      <c r="D62" s="40">
        <f>D60/'Profit Loss'!C11</f>
        <v>42.781194207498515</v>
      </c>
      <c r="E62" s="40">
        <f>E60/'Profit Loss'!D11</f>
        <v>34.511986301369866</v>
      </c>
      <c r="F62" s="40">
        <f>F60/'Profit Loss'!E11</f>
        <v>29.484080525414051</v>
      </c>
      <c r="G62" s="40">
        <f>G60/'Profit Loss'!F11</f>
        <v>26.154152226928506</v>
      </c>
      <c r="H62" s="6"/>
      <c r="I62" s="40">
        <f>I60/Ind_bala!B10</f>
        <v>117.63205853845325</v>
      </c>
      <c r="J62" s="40">
        <f>J60/Ind_bala!C10</f>
        <v>174.43989108061197</v>
      </c>
      <c r="K62" s="40">
        <f>K60/Ind_bala!D10</f>
        <v>218.72717452564342</v>
      </c>
      <c r="L62" s="40">
        <f>L60/Ind_bala!E10</f>
        <v>203.16825295323358</v>
      </c>
      <c r="M62" s="40">
        <f>M60/Ind_bala!F10</f>
        <v>236.17222209551613</v>
      </c>
    </row>
    <row r="63" spans="1:13">
      <c r="A63" s="5" t="s">
        <v>431</v>
      </c>
      <c r="B63" s="6"/>
      <c r="C63" s="40"/>
      <c r="D63" s="40"/>
      <c r="E63" s="40"/>
      <c r="F63" s="40"/>
      <c r="G63" s="40"/>
      <c r="H63" s="6"/>
      <c r="I63" s="40"/>
      <c r="J63" s="40"/>
      <c r="K63" s="40"/>
      <c r="L63" s="40"/>
      <c r="M63" s="40"/>
    </row>
    <row r="64" spans="1:13">
      <c r="A64" s="6" t="s">
        <v>432</v>
      </c>
      <c r="B64" s="6" t="s">
        <v>552</v>
      </c>
      <c r="C64" s="40">
        <f>(Balance_Sheet!B28+Balance_Sheet!B25)/Balance_Sheet!B41</f>
        <v>1.9531442663378544</v>
      </c>
      <c r="D64" s="40">
        <f>(Balance_Sheet!C28+Balance_Sheet!C25)/Balance_Sheet!C41</f>
        <v>1.8828389543545985</v>
      </c>
      <c r="E64" s="40">
        <f>(Balance_Sheet!D28+Balance_Sheet!D25)/Balance_Sheet!D41</f>
        <v>2.2062617998741345</v>
      </c>
      <c r="F64" s="40">
        <f>(Balance_Sheet!E28+Balance_Sheet!E25)/Balance_Sheet!E41</f>
        <v>2.2481720430107526</v>
      </c>
      <c r="G64" s="40">
        <f>(Balance_Sheet!F28+Balance_Sheet!F25)/Balance_Sheet!F41</f>
        <v>2.797544128933231</v>
      </c>
      <c r="H64" s="6"/>
      <c r="I64" s="40">
        <f>(Ind_bala!B24+Ind_bala!B21)/Ind_bala!B34</f>
        <v>0.64539170672990287</v>
      </c>
      <c r="J64" s="40">
        <f>(Ind_bala!C24+Ind_bala!C21)/Ind_bala!C34</f>
        <v>0.63801093498618699</v>
      </c>
      <c r="K64" s="40">
        <f>(Ind_bala!D24+Ind_bala!D21)/Ind_bala!D34</f>
        <v>0.65992984383387221</v>
      </c>
      <c r="L64" s="40">
        <f>(Ind_bala!E24+Ind_bala!E21)/Ind_bala!E34</f>
        <v>0.63083252138140089</v>
      </c>
      <c r="M64" s="40">
        <f>(Ind_bala!F24+Ind_bala!F21)/Ind_bala!F34</f>
        <v>0.67499034003091185</v>
      </c>
    </row>
    <row r="65" spans="1:13">
      <c r="A65" s="6" t="s">
        <v>434</v>
      </c>
      <c r="B65" s="6" t="s">
        <v>435</v>
      </c>
      <c r="C65" s="40">
        <f>'Profit Loss'!B11/ABS('Profit Loss'!B15)</f>
        <v>21.265789473684212</v>
      </c>
      <c r="D65" s="40">
        <f>'Profit Loss'!C11/ABS('Profit Loss'!C15)</f>
        <v>23.392111368909514</v>
      </c>
      <c r="E65" s="40">
        <f>'Profit Loss'!D11/ABS('Profit Loss'!D15)</f>
        <v>26.038216560509554</v>
      </c>
      <c r="F65" s="40">
        <f>'Profit Loss'!E11/ABS('Profit Loss'!E15)</f>
        <v>24.361739130434781</v>
      </c>
      <c r="G65" s="40">
        <f>'Profit Loss'!F11/ABS('Profit Loss'!F15)</f>
        <v>24.120743034055728</v>
      </c>
      <c r="H65" s="6"/>
      <c r="I65" s="40">
        <f>'Ind_P&amp;L'!B10/ABS('Ind_P&amp;L'!B14)</f>
        <v>11.680440771349863</v>
      </c>
      <c r="J65" s="40">
        <f>'Ind_P&amp;L'!C10/ABS('Ind_P&amp;L'!C14)</f>
        <v>14.433130328867236</v>
      </c>
      <c r="K65" s="40">
        <f>'Ind_P&amp;L'!D10/ABS('Ind_P&amp;L'!D14)</f>
        <v>16.921021795172251</v>
      </c>
      <c r="L65" s="40">
        <f>'Ind_P&amp;L'!E10/ABS('Ind_P&amp;L'!E14)</f>
        <v>16.666174609869252</v>
      </c>
      <c r="M65" s="40">
        <f>'Ind_P&amp;L'!F10/ABS('Ind_P&amp;L'!F14)</f>
        <v>18.310529446757883</v>
      </c>
    </row>
    <row r="66" spans="1:13">
      <c r="A66" s="6" t="s">
        <v>381</v>
      </c>
      <c r="B66" s="6" t="s">
        <v>436</v>
      </c>
      <c r="C66" s="40">
        <f>(Balance_Sheet!B28+Balance_Sheet!B25)/((Balance_Sheet!B28+Balance_Sheet!B25)+Balance_Sheet!B41)</f>
        <v>0.66137787056367436</v>
      </c>
      <c r="D66" s="40">
        <f>(Balance_Sheet!C28+Balance_Sheet!C25)/((Balance_Sheet!C28+Balance_Sheet!C25)+Balance_Sheet!C41)</f>
        <v>0.65311971433940985</v>
      </c>
      <c r="E66" s="40">
        <f>(Balance_Sheet!D28+Balance_Sheet!D25)/((Balance_Sheet!D28+Balance_Sheet!D25)+Balance_Sheet!D41)</f>
        <v>0.68811030963246478</v>
      </c>
      <c r="F66" s="40">
        <f>(Balance_Sheet!E28+Balance_Sheet!E25)/((Balance_Sheet!E28+Balance_Sheet!E25)+Balance_Sheet!E41)</f>
        <v>0.69213453389830504</v>
      </c>
      <c r="G66" s="40">
        <f>(Balance_Sheet!F28+Balance_Sheet!F25)/((Balance_Sheet!F28+Balance_Sheet!F25)+Balance_Sheet!F41)</f>
        <v>0.73667192110262314</v>
      </c>
      <c r="H66" s="6"/>
      <c r="I66" s="40">
        <f>(Ind_bala!B24+Ind_bala!B21)/((Ind_bala!B24+Ind_bala!B21)+Ind_bala!B34)</f>
        <v>0.39224198352899947</v>
      </c>
      <c r="J66" s="40">
        <f>(Ind_bala!C24+Ind_bala!C21)/((Ind_bala!C24+Ind_bala!C21)+Ind_bala!C34)</f>
        <v>0.38950346506176847</v>
      </c>
      <c r="K66" s="40">
        <f>(Ind_bala!D24+Ind_bala!D21)/((Ind_bala!D24+Ind_bala!D21)+Ind_bala!D34)</f>
        <v>0.39756490088138857</v>
      </c>
      <c r="L66" s="40">
        <f>(Ind_bala!E24+Ind_bala!E21)/((Ind_bala!E24+Ind_bala!E21)+Ind_bala!E34)</f>
        <v>0.38681625066383429</v>
      </c>
      <c r="M66" s="40">
        <f>(Ind_bala!F24+Ind_bala!F21)/((Ind_bala!F24+Ind_bala!F21)+Ind_bala!F34)</f>
        <v>0.40298163153493471</v>
      </c>
    </row>
    <row r="67" spans="1:13">
      <c r="A67" s="6" t="s">
        <v>384</v>
      </c>
      <c r="B67" s="6" t="s">
        <v>448</v>
      </c>
      <c r="C67" s="40">
        <f>'Profit Loss'!B20/'Profit Loss'!B11</f>
        <v>0.79334240811780721</v>
      </c>
      <c r="D67" s="40">
        <f>'Profit Loss'!C20/'Profit Loss'!C11</f>
        <v>0.86163459631025585</v>
      </c>
      <c r="E67" s="40">
        <f>'Profit Loss'!D20/'Profit Loss'!D11</f>
        <v>0.80968688845401171</v>
      </c>
      <c r="F67" s="40">
        <f>'Profit Loss'!E20/'Profit Loss'!E11</f>
        <v>0.79918617932609937</v>
      </c>
      <c r="G67" s="40">
        <f>'Profit Loss'!F20/'Profit Loss'!F11</f>
        <v>0.82620972917468871</v>
      </c>
      <c r="H67" s="6"/>
      <c r="I67" s="40">
        <f>'Ind_P&amp;L'!B19/'Ind_P&amp;L'!B10</f>
        <v>0.7846933962264151</v>
      </c>
      <c r="J67" s="40">
        <f>'Ind_P&amp;L'!C19/'Ind_P&amp;L'!C10</f>
        <v>0.81388401296246282</v>
      </c>
      <c r="K67" s="40">
        <f>'Ind_P&amp;L'!D19/'Ind_P&amp;L'!D10</f>
        <v>0.80540705243622057</v>
      </c>
      <c r="L67" s="40">
        <f>'Ind_P&amp;L'!E19/'Ind_P&amp;L'!E10</f>
        <v>0.80098948513874302</v>
      </c>
      <c r="M67" s="40">
        <f>'Ind_P&amp;L'!F19/'Ind_P&amp;L'!F10</f>
        <v>0.82447476716482559</v>
      </c>
    </row>
    <row r="68" spans="1:13">
      <c r="A68" s="6"/>
      <c r="B68" s="6"/>
      <c r="C68" s="40"/>
      <c r="D68" s="40"/>
      <c r="E68" s="40"/>
      <c r="F68" s="40"/>
      <c r="G68" s="40"/>
      <c r="H68" s="6"/>
      <c r="I68" s="40"/>
      <c r="J68" s="40"/>
      <c r="K68" s="40"/>
      <c r="L68" s="40"/>
      <c r="M68" s="40"/>
    </row>
    <row r="69" spans="1:13">
      <c r="A69" s="5" t="s">
        <v>402</v>
      </c>
      <c r="B69" s="6"/>
      <c r="C69" s="40"/>
      <c r="D69" s="40"/>
      <c r="E69" s="40"/>
      <c r="F69" s="40"/>
      <c r="G69" s="40"/>
      <c r="H69" s="6"/>
      <c r="I69" s="40"/>
      <c r="J69" s="40"/>
      <c r="K69" s="40"/>
      <c r="L69" s="40"/>
      <c r="M69" s="40"/>
    </row>
    <row r="70" spans="1:13">
      <c r="A70" s="6" t="s">
        <v>400</v>
      </c>
      <c r="B70" s="6" t="s">
        <v>449</v>
      </c>
      <c r="C70" s="40">
        <f>Balance_Sheet!B11/Balance_Sheet!B27</f>
        <v>1.6133198278045076</v>
      </c>
      <c r="D70" s="40">
        <f>Balance_Sheet!C11/Balance_Sheet!C27</f>
        <v>1.2877222306640328</v>
      </c>
      <c r="E70" s="40">
        <f>Balance_Sheet!D11/Balance_Sheet!D27</f>
        <v>1.1718297932397148</v>
      </c>
      <c r="F70" s="40">
        <f>Balance_Sheet!E11/Balance_Sheet!E27</f>
        <v>1.1658263649778653</v>
      </c>
      <c r="G70" s="40">
        <f>Balance_Sheet!F11/Balance_Sheet!F27</f>
        <v>1.0262226847034339</v>
      </c>
      <c r="H70" s="6"/>
      <c r="I70" s="40">
        <f>Ind_bala!B10/Ind_bala!B23</f>
        <v>2.2456031923040749</v>
      </c>
      <c r="J70" s="40">
        <f>Ind_bala!C10/Ind_bala!C23</f>
        <v>1.8379843214459375</v>
      </c>
      <c r="K70" s="40">
        <f>Ind_bala!D10/Ind_bala!D23</f>
        <v>1.6707844763805124</v>
      </c>
      <c r="L70" s="40">
        <f>Ind_bala!E10/Ind_bala!E23</f>
        <v>1.7726890883880044</v>
      </c>
      <c r="M70" s="40">
        <f>Ind_bala!F10/Ind_bala!F23</f>
        <v>1.600043790825822</v>
      </c>
    </row>
    <row r="71" spans="1:13">
      <c r="A71" s="6" t="s">
        <v>450</v>
      </c>
      <c r="B71" s="6" t="s">
        <v>451</v>
      </c>
      <c r="C71" s="40">
        <f>(Balance_Sheet!B11-Balance_Sheet!B10)/Balance_Sheet!B27</f>
        <v>1.4543766354351313</v>
      </c>
      <c r="D71" s="40">
        <f>(Balance_Sheet!C11-Balance_Sheet!C10)/Balance_Sheet!C27</f>
        <v>1.1151800638200882</v>
      </c>
      <c r="E71" s="40">
        <f>(Balance_Sheet!D11-Balance_Sheet!D10)/Balance_Sheet!D27</f>
        <v>1.0062804318678993</v>
      </c>
      <c r="F71" s="40">
        <f>(Balance_Sheet!E11-Balance_Sheet!E10)/Balance_Sheet!E27</f>
        <v>1.0052877520905066</v>
      </c>
      <c r="G71" s="40">
        <f>(Balance_Sheet!F11-Balance_Sheet!F10)/Balance_Sheet!F27</f>
        <v>0.87055150884495314</v>
      </c>
      <c r="H71" s="6"/>
      <c r="I71" s="40">
        <f>(Ind_bala!B10-Ind_bala!B9)/Ind_bala!B23</f>
        <v>2.0965080815273618</v>
      </c>
      <c r="J71" s="40">
        <f>(Ind_bala!C10-Ind_bala!C9)/Ind_bala!C23</f>
        <v>1.6889313203429832</v>
      </c>
      <c r="K71" s="40">
        <f>(Ind_bala!D10-Ind_bala!D9)/Ind_bala!D23</f>
        <v>1.5303118624307781</v>
      </c>
      <c r="L71" s="40">
        <f>(Ind_bala!E10-Ind_bala!E9)/Ind_bala!E23</f>
        <v>1.6350616884102709</v>
      </c>
      <c r="M71" s="40">
        <f>(Ind_bala!F10-Ind_bala!F9)/Ind_bala!F23</f>
        <v>1.4597306864211947</v>
      </c>
    </row>
    <row r="72" spans="1:13">
      <c r="A72" s="6" t="s">
        <v>401</v>
      </c>
      <c r="B72" s="6" t="s">
        <v>452</v>
      </c>
      <c r="C72" s="40">
        <f>Balance_Sheet!B4/Balance_Sheet!B27</f>
        <v>0.85363383134970883</v>
      </c>
      <c r="D72" s="40">
        <f>Balance_Sheet!C4/Balance_Sheet!C27</f>
        <v>0.56382008813250262</v>
      </c>
      <c r="E72" s="40">
        <f>Balance_Sheet!D4/Balance_Sheet!D27</f>
        <v>0.49453108460941358</v>
      </c>
      <c r="F72" s="40">
        <f>Balance_Sheet!E4/Balance_Sheet!E27</f>
        <v>0.5280373831775701</v>
      </c>
      <c r="G72" s="40">
        <f>Balance_Sheet!F4/Balance_Sheet!F27</f>
        <v>0.43922996878251819</v>
      </c>
      <c r="H72" s="6"/>
      <c r="I72" s="40">
        <f>Ind_bala!B4/Ind_bala!B23</f>
        <v>0.93866638004003811</v>
      </c>
      <c r="J72" s="40">
        <f>Ind_bala!C4/Ind_bala!C23</f>
        <v>1.1031558723419395</v>
      </c>
      <c r="K72" s="40">
        <f>Ind_bala!D4/Ind_bala!D23</f>
        <v>1.3496513687420129</v>
      </c>
      <c r="L72" s="40">
        <f>Ind_bala!E4/Ind_bala!E23</f>
        <v>1.4808558444581643</v>
      </c>
      <c r="M72" s="40">
        <f>Ind_bala!F4/Ind_bala!F23</f>
        <v>1.6240557603182133</v>
      </c>
    </row>
    <row r="73" spans="1:13">
      <c r="A73" s="6" t="s">
        <v>453</v>
      </c>
      <c r="B73" s="6" t="s">
        <v>454</v>
      </c>
      <c r="C73" s="40">
        <f>'Cash Flow'!B24/(Balance_Sheet!B28+Balance_Sheet!B25)</f>
        <v>0.57007575757575757</v>
      </c>
      <c r="D73" s="40">
        <f>'Cash Flow'!C24/(Balance_Sheet!C28+Balance_Sheet!C25)</f>
        <v>0.68074239263362346</v>
      </c>
      <c r="E73" s="40">
        <f>'Cash Flow'!D24/(Balance_Sheet!D28+Balance_Sheet!D25)</f>
        <v>0.79833131284318615</v>
      </c>
      <c r="F73" s="40">
        <f>'Cash Flow'!E24/(Balance_Sheet!E28+Balance_Sheet!E25)</f>
        <v>0.76398188891014607</v>
      </c>
      <c r="G73" s="40">
        <f>'Cash Flow'!F24/(Balance_Sheet!F28+Balance_Sheet!F25)</f>
        <v>0.81092944145725887</v>
      </c>
      <c r="H73" s="6"/>
      <c r="I73" s="40">
        <f>Ind_Cashflow!B11/(Ind_bala!B24+Ind_bala!B21)</f>
        <v>0.49547134832088091</v>
      </c>
      <c r="J73" s="40">
        <f>Ind_Cashflow!C11/(Ind_bala!C24+Ind_bala!C21)</f>
        <v>0.63454158210934519</v>
      </c>
      <c r="K73" s="40">
        <f>Ind_Cashflow!D11/(Ind_bala!D24+Ind_bala!D21)</f>
        <v>0.7159651943630001</v>
      </c>
      <c r="L73" s="40">
        <f>Ind_Cashflow!E11/(Ind_bala!E24+Ind_bala!E21)</f>
        <v>0.75539457877575356</v>
      </c>
      <c r="M73" s="40">
        <f>Ind_Cashflow!F11/(Ind_bala!F24+Ind_bala!F21)</f>
        <v>0.77645000993838198</v>
      </c>
    </row>
    <row r="74" spans="1:13">
      <c r="A74" s="6"/>
      <c r="B74" s="6"/>
      <c r="C74" s="6"/>
      <c r="D74" s="6"/>
      <c r="E74" s="6"/>
      <c r="F74" s="6"/>
      <c r="G74" s="6"/>
      <c r="H74" s="6"/>
      <c r="I74" s="6"/>
      <c r="J74" s="6"/>
      <c r="K74" s="6"/>
      <c r="L74" s="6"/>
      <c r="M74" s="6"/>
    </row>
    <row r="75" spans="1:13">
      <c r="A75" s="6"/>
      <c r="B75" s="6"/>
      <c r="C75" s="6"/>
      <c r="D75" s="6"/>
      <c r="E75" s="6"/>
      <c r="F75" s="6"/>
      <c r="G75" s="6"/>
      <c r="H75" s="6"/>
      <c r="I75" s="6"/>
      <c r="J75" s="6"/>
      <c r="K75" s="6"/>
      <c r="L75" s="6"/>
      <c r="M75" s="6"/>
    </row>
    <row r="76" spans="1:13">
      <c r="A76" s="6"/>
      <c r="B76" s="6"/>
      <c r="C76" s="6"/>
      <c r="D76" s="6"/>
      <c r="E76" s="6"/>
      <c r="F76" s="6"/>
      <c r="G76" s="6"/>
      <c r="H76" s="6"/>
      <c r="I76" s="6"/>
      <c r="J76" s="6"/>
      <c r="K76" s="6"/>
      <c r="L76" s="6"/>
      <c r="M76" s="6"/>
    </row>
    <row r="77" spans="1:13">
      <c r="A77" s="6"/>
      <c r="B77" s="6"/>
      <c r="C77" s="6"/>
      <c r="D77" s="6"/>
      <c r="E77" s="6"/>
      <c r="F77" s="6"/>
      <c r="G77" s="6"/>
      <c r="H77" s="6"/>
      <c r="I77" s="6"/>
      <c r="J77" s="6"/>
      <c r="K77" s="6"/>
      <c r="L77" s="6"/>
      <c r="M77" s="6"/>
    </row>
    <row r="78" spans="1:13">
      <c r="A78" s="6"/>
      <c r="B78" s="6" t="s">
        <v>375</v>
      </c>
      <c r="C78" s="6" t="s">
        <v>117</v>
      </c>
      <c r="D78" s="6" t="s">
        <v>118</v>
      </c>
      <c r="E78" s="6" t="s">
        <v>119</v>
      </c>
      <c r="F78" s="6" t="s">
        <v>120</v>
      </c>
      <c r="G78" s="6" t="s">
        <v>121</v>
      </c>
      <c r="H78" s="6"/>
      <c r="I78" s="6"/>
      <c r="J78" s="6"/>
      <c r="K78" s="6"/>
      <c r="L78" s="6"/>
      <c r="M78" s="6"/>
    </row>
    <row r="79" spans="1:13">
      <c r="A79" s="6"/>
      <c r="B79" s="6" t="s">
        <v>260</v>
      </c>
      <c r="C79" s="6">
        <f>VLOOKUP($B$78,$A$3:$G$74,3,FALSE)</f>
        <v>0.41899222273054049</v>
      </c>
      <c r="D79" s="6">
        <f>VLOOKUP($B$78,$A$3:$G$74,4,FALSE)</f>
        <v>0.46001906375767848</v>
      </c>
      <c r="E79" s="6">
        <f>VLOOKUP($B$78,$A$3:$G$74,5,FALSE)</f>
        <v>0.44655304222691911</v>
      </c>
      <c r="F79" s="6">
        <f>VLOOKUP($B$78,$A$3:$G$74,6,FALSE)</f>
        <v>0.44605147820543467</v>
      </c>
      <c r="G79" s="6">
        <f>VLOOKUP($B$78,$A$3:$G$74,7,FALSE)</f>
        <v>0.45705967976710332</v>
      </c>
      <c r="H79" s="6"/>
      <c r="I79" s="6"/>
      <c r="J79" s="6"/>
      <c r="K79" s="6"/>
      <c r="L79" s="6"/>
      <c r="M79" s="6"/>
    </row>
    <row r="80" spans="1:13">
      <c r="A80" s="4"/>
      <c r="B80" s="4" t="s">
        <v>259</v>
      </c>
      <c r="C80" s="4">
        <f>VLOOKUP($B$78,$A$3:$M$74,9,FALSE)</f>
        <v>0.25146247449172399</v>
      </c>
      <c r="D80" s="4">
        <f>VLOOKUP($B$78,$A$3:$M$74,10,FALSE)</f>
        <v>0.29643085472607456</v>
      </c>
      <c r="E80" s="4">
        <f>VLOOKUP($B$78,$A$3:$M$74,11,FALSE)</f>
        <v>0.31707915528437997</v>
      </c>
      <c r="F80" s="4">
        <f>VLOOKUP($B$78,$A$3:$M$74,12,FALSE)</f>
        <v>0.3224201245817141</v>
      </c>
      <c r="G80" s="4">
        <f>VLOOKUP($B$78,$A$3:$M$74,13,FALSE)</f>
        <v>0.34237248500220357</v>
      </c>
      <c r="H80" s="4"/>
      <c r="I80" s="4"/>
      <c r="J80" s="4"/>
      <c r="K80" s="4"/>
      <c r="L80" s="4"/>
      <c r="M80" s="4"/>
    </row>
    <row r="82" spans="1:12">
      <c r="A82" s="5"/>
      <c r="B82" s="5"/>
      <c r="C82" s="5"/>
      <c r="D82" s="5"/>
      <c r="E82" s="5"/>
      <c r="F82" s="5"/>
      <c r="G82" s="5"/>
      <c r="H82" s="5"/>
      <c r="I82" s="5"/>
      <c r="J82" s="5"/>
      <c r="K82" s="5"/>
    </row>
    <row r="83" spans="1:12">
      <c r="B83" s="160"/>
    </row>
    <row r="88" spans="1:12">
      <c r="A88" s="159"/>
      <c r="B88" s="158"/>
      <c r="C88" s="159"/>
      <c r="D88" s="159"/>
      <c r="E88" s="159"/>
      <c r="F88" s="159"/>
      <c r="G88" s="159"/>
      <c r="H88" s="159"/>
      <c r="I88" s="159"/>
      <c r="J88" s="159"/>
      <c r="K88" s="159"/>
      <c r="L88" s="158"/>
    </row>
    <row r="89" spans="1:12">
      <c r="B89" s="160"/>
    </row>
    <row r="94" spans="1:12">
      <c r="A94" s="159"/>
      <c r="B94" s="158"/>
      <c r="C94" s="159"/>
      <c r="D94" s="159"/>
      <c r="E94" s="159"/>
      <c r="F94" s="159"/>
      <c r="G94" s="159"/>
      <c r="H94" s="159"/>
      <c r="I94" s="159"/>
      <c r="J94" s="159"/>
      <c r="K94" s="159"/>
    </row>
    <row r="95" spans="1:12">
      <c r="B95" s="160"/>
    </row>
  </sheetData>
  <dataValidations count="1">
    <dataValidation type="list" allowBlank="1" showInputMessage="1" showErrorMessage="1" sqref="B78" xr:uid="{E7D9E9DD-B974-4A1B-8A6C-42499EDBE6AA}">
      <formula1>$A$7:$A$78</formula1>
    </dataValidation>
  </dataValidations>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50B9F-86C5-4CA8-B2DE-54C03E9993D2}">
  <dimension ref="A1:A211"/>
  <sheetViews>
    <sheetView showGridLines="0" zoomScale="78" workbookViewId="0"/>
  </sheetViews>
  <sheetFormatPr defaultRowHeight="14"/>
  <sheetData>
    <row r="1" spans="1:1" ht="30">
      <c r="A1" s="210" t="s">
        <v>985</v>
      </c>
    </row>
    <row r="3" spans="1:1" ht="23">
      <c r="A3" s="211" t="s">
        <v>986</v>
      </c>
    </row>
    <row r="5" spans="1:1">
      <c r="A5" t="s">
        <v>987</v>
      </c>
    </row>
    <row r="7" spans="1:1" ht="23">
      <c r="A7" s="211" t="s">
        <v>988</v>
      </c>
    </row>
    <row r="8" spans="1:1">
      <c r="A8" s="212"/>
    </row>
    <row r="9" spans="1:1">
      <c r="A9" s="212" t="s">
        <v>989</v>
      </c>
    </row>
    <row r="10" spans="1:1">
      <c r="A10" s="212"/>
    </row>
    <row r="11" spans="1:1">
      <c r="A11" s="212" t="s">
        <v>990</v>
      </c>
    </row>
    <row r="12" spans="1:1">
      <c r="A12" s="212"/>
    </row>
    <row r="13" spans="1:1">
      <c r="A13" s="212" t="s">
        <v>991</v>
      </c>
    </row>
    <row r="14" spans="1:1">
      <c r="A14" s="212"/>
    </row>
    <row r="15" spans="1:1">
      <c r="A15" s="212" t="s">
        <v>992</v>
      </c>
    </row>
    <row r="16" spans="1:1">
      <c r="A16" s="212"/>
    </row>
    <row r="17" spans="1:1">
      <c r="A17" s="212" t="s">
        <v>993</v>
      </c>
    </row>
    <row r="19" spans="1:1" ht="23">
      <c r="A19" s="211" t="s">
        <v>994</v>
      </c>
    </row>
    <row r="21" spans="1:1">
      <c r="A21" t="s">
        <v>995</v>
      </c>
    </row>
    <row r="23" spans="1:1">
      <c r="A23" t="s">
        <v>996</v>
      </c>
    </row>
    <row r="24" spans="1:1">
      <c r="A24" s="212"/>
    </row>
    <row r="25" spans="1:1">
      <c r="A25" s="212" t="s">
        <v>997</v>
      </c>
    </row>
    <row r="26" spans="1:1">
      <c r="A26" s="212"/>
    </row>
    <row r="27" spans="1:1">
      <c r="A27" s="212" t="s">
        <v>998</v>
      </c>
    </row>
    <row r="28" spans="1:1">
      <c r="A28" s="212"/>
    </row>
    <row r="29" spans="1:1">
      <c r="A29" s="212" t="s">
        <v>999</v>
      </c>
    </row>
    <row r="31" spans="1:1">
      <c r="A31" t="s">
        <v>1000</v>
      </c>
    </row>
    <row r="33" spans="1:1" ht="23">
      <c r="A33" s="211" t="s">
        <v>1001</v>
      </c>
    </row>
    <row r="35" spans="1:1">
      <c r="A35" t="s">
        <v>1002</v>
      </c>
    </row>
    <row r="37" spans="1:1">
      <c r="A37" t="s">
        <v>1003</v>
      </c>
    </row>
    <row r="38" spans="1:1">
      <c r="A38" s="212"/>
    </row>
    <row r="39" spans="1:1">
      <c r="A39" s="212" t="s">
        <v>1004</v>
      </c>
    </row>
    <row r="40" spans="1:1">
      <c r="A40" s="212"/>
    </row>
    <row r="41" spans="1:1">
      <c r="A41" s="212" t="s">
        <v>1005</v>
      </c>
    </row>
    <row r="42" spans="1:1">
      <c r="A42" s="212"/>
    </row>
    <row r="43" spans="1:1">
      <c r="A43" s="212" t="s">
        <v>1006</v>
      </c>
    </row>
    <row r="44" spans="1:1">
      <c r="A44" s="212"/>
    </row>
    <row r="45" spans="1:1">
      <c r="A45" s="212" t="s">
        <v>1007</v>
      </c>
    </row>
    <row r="46" spans="1:1">
      <c r="A46" s="212"/>
    </row>
    <row r="47" spans="1:1">
      <c r="A47" s="212" t="s">
        <v>1008</v>
      </c>
    </row>
    <row r="48" spans="1:1">
      <c r="A48" s="212"/>
    </row>
    <row r="49" spans="1:1">
      <c r="A49" s="212" t="s">
        <v>1009</v>
      </c>
    </row>
    <row r="50" spans="1:1">
      <c r="A50" s="212"/>
    </row>
    <row r="51" spans="1:1">
      <c r="A51" s="212" t="s">
        <v>1010</v>
      </c>
    </row>
    <row r="53" spans="1:1" ht="23">
      <c r="A53" s="211" t="s">
        <v>1011</v>
      </c>
    </row>
    <row r="55" spans="1:1">
      <c r="A55" t="s">
        <v>1012</v>
      </c>
    </row>
    <row r="56" spans="1:1">
      <c r="A56" s="212"/>
    </row>
    <row r="57" spans="1:1">
      <c r="A57" s="212" t="s">
        <v>1013</v>
      </c>
    </row>
    <row r="58" spans="1:1">
      <c r="A58" s="212"/>
    </row>
    <row r="59" spans="1:1">
      <c r="A59" s="212" t="s">
        <v>1014</v>
      </c>
    </row>
    <row r="60" spans="1:1">
      <c r="A60" s="212"/>
    </row>
    <row r="61" spans="1:1">
      <c r="A61" s="212" t="s">
        <v>1015</v>
      </c>
    </row>
    <row r="63" spans="1:1">
      <c r="A63" t="s">
        <v>1016</v>
      </c>
    </row>
    <row r="65" spans="1:1" ht="23">
      <c r="A65" s="211" t="s">
        <v>1017</v>
      </c>
    </row>
    <row r="67" spans="1:1" ht="17.5">
      <c r="A67" s="213" t="s">
        <v>1018</v>
      </c>
    </row>
    <row r="69" spans="1:1">
      <c r="A69" t="s">
        <v>1019</v>
      </c>
    </row>
    <row r="71" spans="1:1">
      <c r="A71" t="s">
        <v>1020</v>
      </c>
    </row>
    <row r="72" spans="1:1">
      <c r="A72" s="212"/>
    </row>
    <row r="73" spans="1:1">
      <c r="A73" s="212" t="s">
        <v>161</v>
      </c>
    </row>
    <row r="74" spans="1:1">
      <c r="A74" s="212"/>
    </row>
    <row r="75" spans="1:1">
      <c r="A75" s="212" t="s">
        <v>155</v>
      </c>
    </row>
    <row r="76" spans="1:1">
      <c r="A76" s="212"/>
    </row>
    <row r="77" spans="1:1">
      <c r="A77" s="212" t="s">
        <v>18</v>
      </c>
    </row>
    <row r="78" spans="1:1">
      <c r="A78" s="212"/>
    </row>
    <row r="79" spans="1:1">
      <c r="A79" s="212" t="s">
        <v>539</v>
      </c>
    </row>
    <row r="81" spans="1:1" ht="17.5">
      <c r="A81" s="213" t="s">
        <v>1021</v>
      </c>
    </row>
    <row r="83" spans="1:1">
      <c r="A83" t="s">
        <v>1022</v>
      </c>
    </row>
    <row r="85" spans="1:1">
      <c r="A85" t="s">
        <v>1023</v>
      </c>
    </row>
    <row r="86" spans="1:1">
      <c r="A86" s="212"/>
    </row>
    <row r="87" spans="1:1">
      <c r="A87" s="212" t="s">
        <v>39</v>
      </c>
    </row>
    <row r="88" spans="1:1">
      <c r="A88" s="212"/>
    </row>
    <row r="89" spans="1:1">
      <c r="A89" s="212" t="s">
        <v>50</v>
      </c>
    </row>
    <row r="90" spans="1:1">
      <c r="A90" s="212"/>
    </row>
    <row r="91" spans="1:1">
      <c r="A91" s="212" t="s">
        <v>1024</v>
      </c>
    </row>
    <row r="92" spans="1:1">
      <c r="A92" s="212"/>
    </row>
    <row r="93" spans="1:1">
      <c r="A93" s="212" t="s">
        <v>1025</v>
      </c>
    </row>
    <row r="95" spans="1:1" ht="17.5">
      <c r="A95" s="213" t="s">
        <v>1026</v>
      </c>
    </row>
    <row r="97" spans="1:1">
      <c r="A97" t="s">
        <v>1027</v>
      </c>
    </row>
    <row r="99" spans="1:1">
      <c r="A99" t="s">
        <v>1028</v>
      </c>
    </row>
    <row r="100" spans="1:1">
      <c r="A100" s="212"/>
    </row>
    <row r="101" spans="1:1">
      <c r="A101" s="212" t="s">
        <v>608</v>
      </c>
    </row>
    <row r="102" spans="1:1">
      <c r="A102" s="212"/>
    </row>
    <row r="103" spans="1:1">
      <c r="A103" s="212" t="s">
        <v>614</v>
      </c>
    </row>
    <row r="104" spans="1:1">
      <c r="A104" s="212"/>
    </row>
    <row r="105" spans="1:1">
      <c r="A105" s="212" t="s">
        <v>622</v>
      </c>
    </row>
    <row r="107" spans="1:1" ht="23">
      <c r="A107" s="211" t="s">
        <v>1029</v>
      </c>
    </row>
    <row r="109" spans="1:1">
      <c r="A109" t="s">
        <v>1030</v>
      </c>
    </row>
    <row r="111" spans="1:1">
      <c r="A111" t="s">
        <v>1031</v>
      </c>
    </row>
    <row r="112" spans="1:1">
      <c r="A112" s="212"/>
    </row>
    <row r="113" spans="1:1">
      <c r="A113" s="212" t="s">
        <v>1032</v>
      </c>
    </row>
    <row r="114" spans="1:1">
      <c r="A114" s="212"/>
    </row>
    <row r="115" spans="1:1">
      <c r="A115" s="212" t="s">
        <v>1033</v>
      </c>
    </row>
    <row r="116" spans="1:1">
      <c r="A116" s="212"/>
    </row>
    <row r="117" spans="1:1">
      <c r="A117" s="212" t="s">
        <v>1034</v>
      </c>
    </row>
    <row r="118" spans="1:1">
      <c r="A118" s="212"/>
    </row>
    <row r="119" spans="1:1">
      <c r="A119" s="212" t="s">
        <v>1035</v>
      </c>
    </row>
    <row r="121" spans="1:1">
      <c r="A121" t="s">
        <v>1036</v>
      </c>
    </row>
    <row r="123" spans="1:1" ht="23">
      <c r="A123" s="211" t="s">
        <v>1037</v>
      </c>
    </row>
    <row r="125" spans="1:1">
      <c r="A125" t="s">
        <v>1038</v>
      </c>
    </row>
    <row r="127" spans="1:1">
      <c r="A127" t="s">
        <v>1039</v>
      </c>
    </row>
    <row r="128" spans="1:1">
      <c r="A128" s="212"/>
    </row>
    <row r="129" spans="1:1">
      <c r="A129" s="212" t="s">
        <v>1040</v>
      </c>
    </row>
    <row r="130" spans="1:1">
      <c r="A130" s="212"/>
    </row>
    <row r="131" spans="1:1">
      <c r="A131" s="212" t="s">
        <v>913</v>
      </c>
    </row>
    <row r="132" spans="1:1">
      <c r="A132" s="212"/>
    </row>
    <row r="133" spans="1:1">
      <c r="A133" s="212" t="s">
        <v>1041</v>
      </c>
    </row>
    <row r="135" spans="1:1">
      <c r="A135" t="s">
        <v>1042</v>
      </c>
    </row>
    <row r="137" spans="1:1" ht="23">
      <c r="A137" s="211" t="s">
        <v>1043</v>
      </c>
    </row>
    <row r="139" spans="1:1" ht="17.5">
      <c r="A139" s="213" t="s">
        <v>1044</v>
      </c>
    </row>
    <row r="141" spans="1:1">
      <c r="A141" t="s">
        <v>1045</v>
      </c>
    </row>
    <row r="143" spans="1:1">
      <c r="A143" t="s">
        <v>1046</v>
      </c>
    </row>
    <row r="144" spans="1:1">
      <c r="A144" s="212"/>
    </row>
    <row r="145" spans="1:1">
      <c r="A145" s="212" t="s">
        <v>1047</v>
      </c>
    </row>
    <row r="146" spans="1:1">
      <c r="A146" s="212"/>
    </row>
    <row r="147" spans="1:1">
      <c r="A147" s="212" t="s">
        <v>1048</v>
      </c>
    </row>
    <row r="148" spans="1:1">
      <c r="A148" s="212"/>
    </row>
    <row r="149" spans="1:1">
      <c r="A149" s="212" t="s">
        <v>1049</v>
      </c>
    </row>
    <row r="151" spans="1:1" ht="17.5">
      <c r="A151" s="213" t="s">
        <v>1050</v>
      </c>
    </row>
    <row r="153" spans="1:1">
      <c r="A153" t="s">
        <v>1051</v>
      </c>
    </row>
    <row r="155" spans="1:1" ht="17.5">
      <c r="A155" s="213" t="s">
        <v>1052</v>
      </c>
    </row>
    <row r="157" spans="1:1">
      <c r="A157" t="s">
        <v>1053</v>
      </c>
    </row>
    <row r="158" spans="1:1">
      <c r="A158" s="212"/>
    </row>
    <row r="159" spans="1:1">
      <c r="A159" s="212" t="s">
        <v>1054</v>
      </c>
    </row>
    <row r="160" spans="1:1">
      <c r="A160" s="212"/>
    </row>
    <row r="161" spans="1:1">
      <c r="A161" s="212" t="s">
        <v>230</v>
      </c>
    </row>
    <row r="162" spans="1:1">
      <c r="A162" s="212"/>
    </row>
    <row r="163" spans="1:1">
      <c r="A163" s="212" t="s">
        <v>1055</v>
      </c>
    </row>
    <row r="165" spans="1:1" ht="23">
      <c r="A165" s="211" t="s">
        <v>1056</v>
      </c>
    </row>
    <row r="167" spans="1:1">
      <c r="A167" t="s">
        <v>1057</v>
      </c>
    </row>
    <row r="169" spans="1:1">
      <c r="A169" t="s">
        <v>1058</v>
      </c>
    </row>
    <row r="170" spans="1:1">
      <c r="A170" s="212"/>
    </row>
    <row r="171" spans="1:1">
      <c r="A171" s="212" t="s">
        <v>1059</v>
      </c>
    </row>
    <row r="172" spans="1:1">
      <c r="A172" s="212"/>
    </row>
    <row r="173" spans="1:1">
      <c r="A173" s="212" t="s">
        <v>1060</v>
      </c>
    </row>
    <row r="174" spans="1:1">
      <c r="A174" s="212"/>
    </row>
    <row r="175" spans="1:1">
      <c r="A175" s="212" t="s">
        <v>1061</v>
      </c>
    </row>
    <row r="176" spans="1:1">
      <c r="A176" s="212"/>
    </row>
    <row r="177" spans="1:1">
      <c r="A177" s="212" t="s">
        <v>1062</v>
      </c>
    </row>
    <row r="179" spans="1:1">
      <c r="A179" t="s">
        <v>1063</v>
      </c>
    </row>
    <row r="181" spans="1:1" ht="23">
      <c r="A181" s="211" t="s">
        <v>1064</v>
      </c>
    </row>
    <row r="183" spans="1:1">
      <c r="A183" t="s">
        <v>1065</v>
      </c>
    </row>
    <row r="185" spans="1:1" ht="23">
      <c r="A185" s="211" t="s">
        <v>1066</v>
      </c>
    </row>
    <row r="186" spans="1:1">
      <c r="A186" s="212"/>
    </row>
    <row r="187" spans="1:1">
      <c r="A187" s="212" t="s">
        <v>1067</v>
      </c>
    </row>
    <row r="188" spans="1:1">
      <c r="A188" s="212"/>
    </row>
    <row r="189" spans="1:1">
      <c r="A189" s="212" t="s">
        <v>1068</v>
      </c>
    </row>
    <row r="190" spans="1:1">
      <c r="A190" s="212"/>
    </row>
    <row r="191" spans="1:1">
      <c r="A191" s="212" t="s">
        <v>1069</v>
      </c>
    </row>
    <row r="192" spans="1:1">
      <c r="A192" s="212"/>
    </row>
    <row r="193" spans="1:1">
      <c r="A193" s="212" t="s">
        <v>1070</v>
      </c>
    </row>
    <row r="195" spans="1:1" ht="23">
      <c r="A195" s="211" t="s">
        <v>1071</v>
      </c>
    </row>
    <row r="196" spans="1:1">
      <c r="A196" s="212"/>
    </row>
    <row r="197" spans="1:1">
      <c r="A197" s="212" t="s">
        <v>1072</v>
      </c>
    </row>
    <row r="198" spans="1:1">
      <c r="A198" s="212"/>
    </row>
    <row r="199" spans="1:1">
      <c r="A199" s="212" t="s">
        <v>1073</v>
      </c>
    </row>
    <row r="201" spans="1:1" ht="23">
      <c r="A201" s="211" t="s">
        <v>1074</v>
      </c>
    </row>
    <row r="203" spans="1:1">
      <c r="A203" t="s">
        <v>1075</v>
      </c>
    </row>
    <row r="205" spans="1:1" ht="23">
      <c r="A205" s="211" t="s">
        <v>1076</v>
      </c>
    </row>
    <row r="206" spans="1:1">
      <c r="A206" s="212"/>
    </row>
    <row r="207" spans="1:1">
      <c r="A207" s="212" t="s">
        <v>1077</v>
      </c>
    </row>
    <row r="208" spans="1:1">
      <c r="A208" s="212"/>
    </row>
    <row r="209" spans="1:1">
      <c r="A209" s="212" t="s">
        <v>1078</v>
      </c>
    </row>
    <row r="210" spans="1:1">
      <c r="A210" s="212"/>
    </row>
    <row r="211" spans="1:1">
      <c r="A211" s="212" t="s">
        <v>1079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Summary</vt:lpstr>
      <vt:lpstr>Assumptions</vt:lpstr>
      <vt:lpstr>WACC</vt:lpstr>
      <vt:lpstr>CAGR Projections</vt:lpstr>
      <vt:lpstr>Profit Loss</vt:lpstr>
      <vt:lpstr>Balance_Sheet</vt:lpstr>
      <vt:lpstr>Cash Flow</vt:lpstr>
      <vt:lpstr>Common Size</vt:lpstr>
      <vt:lpstr>Ind_P&amp;L</vt:lpstr>
      <vt:lpstr>Ind_bala</vt:lpstr>
      <vt:lpstr>Ind_Cashflow</vt:lpstr>
      <vt:lpstr>Ind dump</vt:lpstr>
      <vt:lpstr>Beta</vt:lpstr>
      <vt:lpstr>Regression</vt:lpstr>
      <vt:lpstr>DCF Valuation</vt:lpstr>
      <vt:lpstr>DDM FCFF Relative Valuation</vt:lpstr>
      <vt:lpstr>Competition</vt:lpstr>
      <vt:lpstr>Credit Ratio</vt:lpstr>
      <vt:lpstr>Ratios</vt:lpstr>
      <vt:lpstr>Project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Talla Varun Goud</dc:creator>
  <cp:lastModifiedBy>Talla Varun Goud</cp:lastModifiedBy>
  <dcterms:created xsi:type="dcterms:W3CDTF">2026-02-02T12:49:40Z</dcterms:created>
  <dcterms:modified xsi:type="dcterms:W3CDTF">2026-03-13T07:21:07Z</dcterms:modified>
</cp:coreProperties>
</file>